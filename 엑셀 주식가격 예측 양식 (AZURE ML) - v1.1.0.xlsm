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reatbps\"/>
    </mc:Choice>
  </mc:AlternateContent>
  <xr:revisionPtr revIDLastSave="0" documentId="13_ncr:1_{C33BC570-58BC-4670-B6B2-07A5E1C6B88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주식시세예측" sheetId="1" r:id="rId1"/>
    <sheet name="조회기록" sheetId="2" r:id="rId2"/>
  </sheets>
  <functionGroups builtInGroupCount="19"/>
  <definedNames>
    <definedName name="API">주식시세예측!$C$24</definedName>
    <definedName name="AvgDiff">주식시세예측!$AA$5</definedName>
    <definedName name="FilePath">주식시세예측!$C$17</definedName>
    <definedName name="ForecastTerm">주식시세예측!$C$10</definedName>
    <definedName name="Idx">주식시세예측!#REF!</definedName>
    <definedName name="InputDate">주식시세예측!$C$8</definedName>
    <definedName name="MAPE">주식시세예측!$T$5</definedName>
    <definedName name="SearchTerm">주식시세예측!$C$9</definedName>
    <definedName name="StockName">주식시세예측!$C$7</definedName>
    <definedName name="StockNo">주식시세예측!$C$6</definedName>
    <definedName name="URL">주식시세예측!$C$23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  <c r="C10" i="1"/>
  <c r="C17" i="1" l="1" a="1"/>
  <c r="C17" i="1" s="1"/>
  <c r="A7" i="1"/>
  <c r="A6" i="1"/>
  <c r="AA5" i="1"/>
  <c r="T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<sst xmlns="http://schemas.openxmlformats.org/spreadsheetml/2006/main" count="62" uniqueCount="50">
  <si>
    <t>종목번호</t>
    <phoneticPr fontId="1" type="noConversion"/>
  </si>
  <si>
    <t>종목명</t>
    <phoneticPr fontId="1" type="noConversion"/>
  </si>
  <si>
    <t>기준날짜</t>
    <phoneticPr fontId="1" type="noConversion"/>
  </si>
  <si>
    <t>조회기간</t>
    <phoneticPr fontId="1" type="noConversion"/>
  </si>
  <si>
    <t>예측기간</t>
    <phoneticPr fontId="1" type="noConversion"/>
  </si>
  <si>
    <t>날짜</t>
  </si>
  <si>
    <t>시가</t>
  </si>
  <si>
    <t>고가</t>
  </si>
  <si>
    <t>저가</t>
  </si>
  <si>
    <t>종가</t>
  </si>
  <si>
    <t>거래량</t>
  </si>
  <si>
    <t>전일비</t>
  </si>
  <si>
    <t>예측값</t>
    <phoneticPr fontId="1" type="noConversion"/>
  </si>
  <si>
    <t>URL</t>
    <phoneticPr fontId="1" type="noConversion"/>
  </si>
  <si>
    <t>API키</t>
    <phoneticPr fontId="1" type="noConversion"/>
  </si>
  <si>
    <t>실제값</t>
    <phoneticPr fontId="1" type="noConversion"/>
  </si>
  <si>
    <t>MAPE</t>
    <phoneticPr fontId="1" type="noConversion"/>
  </si>
  <si>
    <t>HIGH</t>
  </si>
  <si>
    <t>HIGH</t>
    <phoneticPr fontId="1" type="noConversion"/>
  </si>
  <si>
    <t>LOW</t>
  </si>
  <si>
    <t>LOW</t>
    <phoneticPr fontId="1" type="noConversion"/>
  </si>
  <si>
    <t>예측값</t>
  </si>
  <si>
    <t>전일비</t>
    <phoneticPr fontId="1" type="noConversion"/>
  </si>
  <si>
    <t>평균증감</t>
    <phoneticPr fontId="1" type="noConversion"/>
  </si>
  <si>
    <t>실제값</t>
  </si>
  <si>
    <t>5일선</t>
    <phoneticPr fontId="1" type="noConversion"/>
  </si>
  <si>
    <t>20일선</t>
    <phoneticPr fontId="1" type="noConversion"/>
  </si>
  <si>
    <t>60일선</t>
    <phoneticPr fontId="1" type="noConversion"/>
  </si>
  <si>
    <t>종가</t>
    <phoneticPr fontId="1" type="noConversion"/>
  </si>
  <si>
    <t>증감율</t>
    <phoneticPr fontId="1" type="noConversion"/>
  </si>
  <si>
    <t>NAVER</t>
  </si>
  <si>
    <t>035420</t>
  </si>
  <si>
    <t>기준일</t>
    <phoneticPr fontId="1" type="noConversion"/>
  </si>
  <si>
    <t>저장경로</t>
    <phoneticPr fontId="1" type="noConversion"/>
  </si>
  <si>
    <t>네이버 금융</t>
    <phoneticPr fontId="1" type="noConversion"/>
  </si>
  <si>
    <t>KTB 투자증권</t>
    <phoneticPr fontId="1" type="noConversion"/>
  </si>
  <si>
    <t>종목번호/이름 :</t>
    <phoneticPr fontId="1" type="noConversion"/>
  </si>
  <si>
    <t>AvgHigh</t>
    <phoneticPr fontId="1" type="noConversion"/>
  </si>
  <si>
    <t>AvgLow</t>
    <phoneticPr fontId="1" type="noConversion"/>
  </si>
  <si>
    <t>정보 제공</t>
    <phoneticPr fontId="1" type="noConversion"/>
  </si>
  <si>
    <t>주식 가격 :</t>
    <phoneticPr fontId="1" type="noConversion"/>
  </si>
  <si>
    <r>
      <t xml:space="preserve">*본 양식은 과거 시계열 데이터를 토대로 Auto Arima 기법으로 예상되는 가격을 분석하는 툴입니다. 윈도우 엑셀 2013 이후 버전 사용자라면 누구나 무료로 사용가능합니다.
* 본 양식으로 계산된 결과는 참고용으로 사용할 수 있으나, 최종 투자에 대한 </t>
    </r>
    <r>
      <rPr>
        <b/>
        <u/>
        <sz val="7"/>
        <color rgb="FF0000FF"/>
        <rFont val="맑은 고딕"/>
        <family val="3"/>
        <charset val="129"/>
      </rPr>
      <t>모든 결정은 본인의 판단과 책임에 있습니다.</t>
    </r>
    <r>
      <rPr>
        <sz val="7"/>
        <color theme="1"/>
        <rFont val="맑은 고딕"/>
        <family val="3"/>
        <charset val="129"/>
      </rPr>
      <t xml:space="preserve">
* 본 양식은 여러분의 투자에 도움을 드리고자 만들었으며 100% 일치를 보장하지 않습니다. </t>
    </r>
    <r>
      <rPr>
        <b/>
        <u/>
        <sz val="7"/>
        <color rgb="FF0000FF"/>
        <rFont val="맑은 고딕"/>
        <family val="3"/>
        <charset val="129"/>
      </rPr>
      <t>올바른 투자를 위해서, 꼭!꼭! 참고용으로만 사용</t>
    </r>
    <r>
      <rPr>
        <sz val="7"/>
        <color theme="1"/>
        <rFont val="맑은 고딕"/>
        <family val="3"/>
        <charset val="129"/>
      </rPr>
      <t>해 주세요.</t>
    </r>
    <phoneticPr fontId="1" type="noConversion"/>
  </si>
  <si>
    <t>005930</t>
  </si>
  <si>
    <t>삼성전자</t>
  </si>
  <si>
    <t>https://ussouthcentral.services.azureml.net/workspaces/4327b16670cc485ba2edfc4201fd68e3/services/87462fe4be2f499d927074b650995ace/execute?api-version=2.0&amp;details=true</t>
    <phoneticPr fontId="1" type="noConversion"/>
  </si>
  <si>
    <t>XQCWa18rOr+ztxetGqr/iRTyrTvlvNwaL03OYbeY4rFdc1hZuCSewc1gQXgG7axoOcP6LxA6X6LOSHJ8Yau7cg==</t>
    <phoneticPr fontId="1" type="noConversion"/>
  </si>
  <si>
    <t>아미코젠</t>
  </si>
  <si>
    <t>아미코젠</t>
    <phoneticPr fontId="1" type="noConversion"/>
  </si>
  <si>
    <t>092040</t>
  </si>
  <si>
    <t>092040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</si>
</sst>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/mm/dd\ hh:mm:ss"/>
    <numFmt numFmtId="177" formatCode="0.0%"/>
    <numFmt numFmtId="178" formatCode="[Red]\▲#,##0;[Blue]\▼#,##0;\-;@"/>
    <numFmt numFmtId="179" formatCode="[Red]_ \▲* #,##0;[Blue]_ \▼* #,##0;\-;@"/>
    <numFmt numFmtId="180" formatCode="mm\/dd"/>
    <numFmt numFmtId="181" formatCode="[Red]_ \▲* #,##0.0%;[Blue]_ \▼* #,##0.0%;\-;@"/>
  </numFmts>
  <fonts count="19" x14ac:knownFonts="1"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10"/>
      <color theme="0"/>
      <name val="맑은 고딕"/>
      <family val="2"/>
      <charset val="129"/>
    </font>
    <font>
      <sz val="10"/>
      <color theme="0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10"/>
      <color rgb="FFFFFF00"/>
      <name val="맑은 고딕"/>
      <family val="3"/>
      <charset val="129"/>
    </font>
    <font>
      <sz val="10"/>
      <name val="맑은 고딕"/>
      <family val="3"/>
      <charset val="129"/>
    </font>
    <font>
      <sz val="10"/>
      <color theme="0" tint="-0.14999847407452621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9"/>
      <color theme="1"/>
      <name val="맑은 고딕"/>
      <family val="2"/>
      <charset val="129"/>
    </font>
    <font>
      <sz val="8"/>
      <color theme="1"/>
      <name val="맑은 고딕"/>
      <family val="3"/>
      <charset val="129"/>
    </font>
    <font>
      <u/>
      <sz val="10"/>
      <color theme="10"/>
      <name val="맑은 고딕"/>
      <family val="2"/>
      <charset val="129"/>
    </font>
    <font>
      <u/>
      <sz val="8"/>
      <color theme="10"/>
      <name val="맑은 고딕"/>
      <family val="2"/>
      <charset val="129"/>
    </font>
    <font>
      <b/>
      <sz val="8"/>
      <color theme="0"/>
      <name val="맑은 고딕"/>
      <family val="3"/>
      <charset val="129"/>
    </font>
    <font>
      <sz val="5"/>
      <color theme="1"/>
      <name val="맑은 고딕"/>
      <family val="3"/>
      <charset val="129"/>
    </font>
    <font>
      <sz val="7"/>
      <color theme="1"/>
      <name val="맑은 고딕"/>
      <family val="3"/>
      <charset val="129"/>
    </font>
    <font>
      <b/>
      <u/>
      <sz val="7"/>
      <color rgb="FF0000FF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49" fontId="0" fillId="0" borderId="1" xfId="0" quotePrefix="1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9" fontId="0" fillId="0" borderId="0" xfId="0" quotePrefix="1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14" fontId="4" fillId="2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vertical="center"/>
    </xf>
    <xf numFmtId="3" fontId="4" fillId="2" borderId="0" xfId="0" applyNumberFormat="1" applyFont="1" applyFill="1" applyAlignment="1">
      <alignment horizontal="center" vertical="center"/>
    </xf>
    <xf numFmtId="177" fontId="4" fillId="2" borderId="0" xfId="0" applyNumberFormat="1" applyFont="1" applyFill="1" applyAlignment="1">
      <alignment horizontal="center" vertical="center"/>
    </xf>
    <xf numFmtId="177" fontId="0" fillId="0" borderId="0" xfId="0" applyNumberFormat="1">
      <alignment vertical="center"/>
    </xf>
    <xf numFmtId="178" fontId="0" fillId="0" borderId="0" xfId="0" applyNumberFormat="1" applyAlignment="1">
      <alignment vertical="center"/>
    </xf>
    <xf numFmtId="179" fontId="4" fillId="2" borderId="0" xfId="0" applyNumberFormat="1" applyFont="1" applyFill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3" fontId="7" fillId="2" borderId="1" xfId="0" applyNumberFormat="1" applyFont="1" applyFill="1" applyBorder="1" applyAlignment="1">
      <alignment horizontal="center" vertical="center"/>
    </xf>
    <xf numFmtId="177" fontId="5" fillId="0" borderId="1" xfId="0" applyNumberFormat="1" applyFont="1" applyFill="1" applyBorder="1">
      <alignment vertical="center"/>
    </xf>
    <xf numFmtId="0" fontId="0" fillId="0" borderId="0" xfId="0" applyBorder="1">
      <alignment vertical="center"/>
    </xf>
    <xf numFmtId="3" fontId="0" fillId="0" borderId="0" xfId="0" applyNumberFormat="1" applyBorder="1" applyAlignment="1">
      <alignment vertical="center"/>
    </xf>
    <xf numFmtId="178" fontId="0" fillId="0" borderId="0" xfId="0" applyNumberFormat="1" applyBorder="1" applyAlignment="1">
      <alignment vertical="center"/>
    </xf>
    <xf numFmtId="3" fontId="0" fillId="0" borderId="0" xfId="0" applyNumberFormat="1" applyBorder="1">
      <alignment vertical="center"/>
    </xf>
    <xf numFmtId="179" fontId="0" fillId="0" borderId="0" xfId="0" applyNumberFormat="1">
      <alignment vertical="center"/>
    </xf>
    <xf numFmtId="179" fontId="5" fillId="0" borderId="1" xfId="0" applyNumberFormat="1" applyFont="1" applyFill="1" applyBorder="1">
      <alignment vertical="center"/>
    </xf>
    <xf numFmtId="0" fontId="8" fillId="0" borderId="0" xfId="0" applyFont="1" applyBorder="1">
      <alignment vertical="center"/>
    </xf>
    <xf numFmtId="0" fontId="8" fillId="0" borderId="0" xfId="0" applyFont="1">
      <alignment vertical="center"/>
    </xf>
    <xf numFmtId="3" fontId="6" fillId="0" borderId="0" xfId="0" applyNumberFormat="1" applyFont="1" applyAlignment="1">
      <alignment vertical="center"/>
    </xf>
    <xf numFmtId="180" fontId="9" fillId="0" borderId="0" xfId="0" applyNumberFormat="1" applyFont="1" applyBorder="1">
      <alignment vertical="center"/>
    </xf>
    <xf numFmtId="3" fontId="9" fillId="0" borderId="0" xfId="0" applyNumberFormat="1" applyFont="1" applyBorder="1">
      <alignment vertical="center"/>
    </xf>
    <xf numFmtId="180" fontId="9" fillId="0" borderId="0" xfId="0" applyNumberFormat="1" applyFont="1" applyFill="1" applyBorder="1" applyAlignment="1">
      <alignment horizontal="center" vertical="center"/>
    </xf>
    <xf numFmtId="3" fontId="9" fillId="0" borderId="0" xfId="0" applyNumberFormat="1" applyFont="1" applyFill="1" applyBorder="1">
      <alignment vertical="center"/>
    </xf>
    <xf numFmtId="0" fontId="3" fillId="0" borderId="0" xfId="0" applyFont="1">
      <alignment vertical="center"/>
    </xf>
    <xf numFmtId="180" fontId="3" fillId="3" borderId="0" xfId="0" applyNumberFormat="1" applyFont="1" applyFill="1" applyBorder="1" applyAlignment="1">
      <alignment horizontal="center" vertical="center"/>
    </xf>
    <xf numFmtId="3" fontId="3" fillId="3" borderId="0" xfId="0" applyNumberFormat="1" applyFont="1" applyFill="1" applyBorder="1" applyAlignment="1">
      <alignment horizontal="center" vertical="center"/>
    </xf>
    <xf numFmtId="0" fontId="6" fillId="0" borderId="0" xfId="0" applyFont="1">
      <alignment vertical="center"/>
    </xf>
    <xf numFmtId="49" fontId="10" fillId="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3" fontId="10" fillId="2" borderId="0" xfId="0" applyNumberFormat="1" applyFont="1" applyFill="1" applyAlignment="1">
      <alignment horizontal="center" vertical="center"/>
    </xf>
    <xf numFmtId="179" fontId="10" fillId="2" borderId="0" xfId="0" applyNumberFormat="1" applyFont="1" applyFill="1" applyAlignment="1">
      <alignment horizontal="center" vertical="center"/>
    </xf>
    <xf numFmtId="181" fontId="10" fillId="2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6" fillId="0" borderId="0" xfId="0" applyNumberFormat="1" applyFont="1">
      <alignment vertical="center"/>
    </xf>
    <xf numFmtId="3" fontId="6" fillId="0" borderId="0" xfId="0" applyNumberFormat="1" applyFont="1">
      <alignment vertical="center"/>
    </xf>
    <xf numFmtId="179" fontId="6" fillId="0" borderId="0" xfId="0" applyNumberFormat="1" applyFont="1">
      <alignment vertical="center"/>
    </xf>
    <xf numFmtId="181" fontId="6" fillId="0" borderId="0" xfId="0" applyNumberFormat="1" applyFont="1">
      <alignment vertical="center"/>
    </xf>
    <xf numFmtId="0" fontId="2" fillId="0" borderId="0" xfId="0" applyFont="1">
      <alignment vertical="center"/>
    </xf>
    <xf numFmtId="0" fontId="2" fillId="0" borderId="0" xfId="0" applyFont="1" applyBorder="1">
      <alignment vertical="center"/>
    </xf>
    <xf numFmtId="0" fontId="14" fillId="0" borderId="4" xfId="1" applyFont="1" applyBorder="1" applyAlignment="1">
      <alignment horizontal="center" vertical="center"/>
    </xf>
    <xf numFmtId="0" fontId="12" fillId="0" borderId="2" xfId="0" applyFont="1" applyBorder="1" applyAlignment="1">
      <alignment horizontal="right" vertical="center"/>
    </xf>
    <xf numFmtId="0" fontId="16" fillId="0" borderId="1" xfId="0" applyFont="1" applyBorder="1" applyAlignment="1">
      <alignment horizontal="left" vertical="center"/>
    </xf>
    <xf numFmtId="3" fontId="9" fillId="0" borderId="0" xfId="0" applyNumberFormat="1" applyFont="1" applyFill="1">
      <alignment vertical="center"/>
    </xf>
    <xf numFmtId="0" fontId="3" fillId="3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3" fontId="7" fillId="2" borderId="2" xfId="0" applyNumberFormat="1" applyFont="1" applyFill="1" applyBorder="1" applyAlignment="1">
      <alignment horizontal="center" vertical="center"/>
    </xf>
    <xf numFmtId="3" fontId="7" fillId="2" borderId="3" xfId="0" applyNumberFormat="1" applyFont="1" applyFill="1" applyBorder="1" applyAlignment="1">
      <alignment horizontal="center" vertical="center"/>
    </xf>
    <xf numFmtId="3" fontId="7" fillId="2" borderId="4" xfId="0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7" fillId="0" borderId="8" xfId="0" applyFont="1" applyBorder="1" applyAlignment="1">
      <alignment horizontal="left" vertical="top" wrapText="1"/>
    </xf>
    <xf numFmtId="0" fontId="17" fillId="0" borderId="9" xfId="0" applyFont="1" applyBorder="1" applyAlignment="1">
      <alignment horizontal="left" vertical="top" wrapText="1"/>
    </xf>
    <xf numFmtId="0" fontId="17" fillId="0" borderId="10" xfId="0" applyFont="1" applyBorder="1" applyAlignment="1">
      <alignment horizontal="left" vertical="top" wrapText="1"/>
    </xf>
    <xf numFmtId="0" fontId="17" fillId="0" borderId="11" xfId="0" applyFont="1" applyBorder="1" applyAlignment="1">
      <alignment horizontal="left" vertical="top" wrapText="1"/>
    </xf>
    <xf numFmtId="0" fontId="17" fillId="0" borderId="12" xfId="0" applyFont="1" applyBorder="1" applyAlignment="1">
      <alignment horizontal="left" vertical="top" wrapText="1"/>
    </xf>
    <xf numFmtId="0" fontId="17" fillId="0" borderId="13" xfId="0" applyFont="1" applyBorder="1" applyAlignment="1">
      <alignment horizontal="left" vertical="top" wrapText="1"/>
    </xf>
    <xf numFmtId="0" fontId="13" fillId="0" borderId="1" xfId="1" applyFill="1" applyBorder="1">
      <alignment vertical="center"/>
    </xf>
  </cellXfs>
  <cellStyles count="2">
    <cellStyle name="표준" xfId="0" builtinId="0"/>
    <cellStyle name="하이퍼링크" xfId="1" builtinId="8"/>
  </cellStyles>
  <dxfs count="42">
    <dxf>
      <font>
        <color theme="0" tint="-0.34998626667073579"/>
      </font>
      <fill>
        <patternFill>
          <bgColor theme="2"/>
        </patternFill>
      </fill>
    </dxf>
    <dxf>
      <font>
        <strike val="0"/>
        <outline val="0"/>
        <shadow val="0"/>
        <u val="none"/>
        <vertAlign val="baseline"/>
        <sz val="9"/>
        <name val="맑은 고딕"/>
        <family val="3"/>
        <charset val="129"/>
        <scheme val="none"/>
      </font>
      <numFmt numFmtId="181" formatCode="[Red]_ \▲* #,##0.0%;[Blue]_ \▼* #,##0.0%;\-;@"/>
    </dxf>
    <dxf>
      <font>
        <strike val="0"/>
        <outline val="0"/>
        <shadow val="0"/>
        <u val="none"/>
        <vertAlign val="baseline"/>
        <sz val="9"/>
        <name val="맑은 고딕"/>
        <family val="3"/>
        <charset val="129"/>
        <scheme val="none"/>
      </font>
      <numFmt numFmtId="179" formatCode="[Red]_ \▲* #,##0;[Blue]_ \▼* #,##0;\-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" formatCode="#,##0"/>
    </dxf>
    <dxf>
      <font>
        <strike val="0"/>
        <outline val="0"/>
        <shadow val="0"/>
        <u val="none"/>
        <vertAlign val="baseline"/>
        <sz val="9"/>
        <name val="맑은 고딕"/>
        <family val="3"/>
        <charset val="129"/>
        <scheme val="none"/>
      </font>
      <numFmt numFmtId="3" formatCode="#,##0"/>
    </dxf>
    <dxf>
      <font>
        <strike val="0"/>
        <outline val="0"/>
        <shadow val="0"/>
        <u val="none"/>
        <vertAlign val="baseline"/>
        <sz val="9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맑은 고딕"/>
        <family val="3"/>
        <charset val="129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0"/>
        <name val="맑은 고딕"/>
        <family val="3"/>
        <charset val="129"/>
        <scheme val="none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 tint="-0.14999847407452621"/>
        <name val="맑은 고딕"/>
        <family val="3"/>
        <charset val="129"/>
        <scheme val="none"/>
      </font>
      <numFmt numFmtId="3" formatCode="#,##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0" tint="-0.14999847407452621"/>
        <name val="맑은 고딕"/>
        <family val="3"/>
        <charset val="129"/>
        <scheme val="none"/>
      </font>
      <numFmt numFmtId="3" formatCode="#,##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0" tint="-0.14999847407452621"/>
        <name val="맑은 고딕"/>
        <family val="3"/>
        <charset val="129"/>
        <scheme val="none"/>
      </font>
      <numFmt numFmtId="3" formatCode="#,##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0" tint="-0.14999847407452621"/>
        <name val="맑은 고딕"/>
        <family val="3"/>
        <charset val="129"/>
        <scheme val="none"/>
      </font>
      <numFmt numFmtId="3" formatCode="#,##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0" tint="-0.14999847407452621"/>
        <name val="맑은 고딕"/>
        <family val="3"/>
        <charset val="129"/>
        <scheme val="none"/>
      </font>
      <numFmt numFmtId="3" formatCode="#,##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14999847407452621"/>
        <name val="맑은 고딕"/>
        <family val="3"/>
        <charset val="129"/>
        <scheme val="none"/>
      </font>
      <numFmt numFmtId="3" formatCode="#,##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14999847407452621"/>
        <name val="맑은 고딕"/>
        <family val="3"/>
        <charset val="129"/>
        <scheme val="none"/>
      </font>
      <numFmt numFmtId="180" formatCode="mm\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 tint="-0.1499984740745262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79" formatCode="[Red]_ \▲* #,##0;[Blue]_ \▼* #,##0;\-;@"/>
    </dxf>
    <dxf>
      <numFmt numFmtId="3" formatCode="#,##0"/>
      <alignment horizontal="general" vertical="center" textRotation="0" wrapText="0" indent="0" justifyLastLine="0" shrinkToFit="0" readingOrder="0"/>
    </dxf>
    <dxf>
      <numFmt numFmtId="3" formatCode="#,##0"/>
      <alignment horizontal="general" vertical="center" textRotation="0" wrapText="0" indent="0" justifyLastLine="0" shrinkToFit="0" readingOrder="0"/>
    </dxf>
    <dxf>
      <numFmt numFmtId="3" formatCode="#,##0"/>
    </dxf>
    <dxf>
      <numFmt numFmtId="19" formatCode="yyyy/mm/dd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none"/>
      </font>
      <numFmt numFmtId="3" formatCode="#,##0"/>
      <fill>
        <patternFill patternType="solid">
          <fgColor indexed="64"/>
          <bgColor theme="1" tint="0.249977111117893"/>
        </patternFill>
      </fill>
      <alignment horizontal="center" vertical="center" textRotation="0" wrapText="0" indent="0" justifyLastLine="0" shrinkToFit="0" readingOrder="0"/>
    </dxf>
    <dxf>
      <numFmt numFmtId="177" formatCode="0.0%"/>
    </dxf>
    <dxf>
      <numFmt numFmtId="3" formatCode="#,##0"/>
    </dxf>
    <dxf>
      <numFmt numFmtId="3" formatCode="#,##0"/>
    </dxf>
    <dxf>
      <numFmt numFmtId="19" formatCode="yyyy/mm/dd"/>
      <alignment horizontal="center" vertical="center" textRotation="0" wrapText="0" indent="0" justifyLastLine="0" shrinkToFit="0" readingOrder="0"/>
    </dxf>
    <dxf>
      <numFmt numFmtId="3" formatCode="#,##0"/>
      <alignment horizontal="general" vertical="center" textRotation="0" wrapText="0" indent="0" justifyLastLine="0" shrinkToFit="0" readingOrder="0"/>
    </dxf>
    <dxf>
      <numFmt numFmtId="3" formatCode="#,##0"/>
      <alignment horizontal="general" vertical="center" textRotation="0" wrapText="0" indent="0" justifyLastLine="0" shrinkToFit="0" readingOrder="0"/>
    </dxf>
    <dxf>
      <numFmt numFmtId="3" formatCode="#,##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맑은 고딕"/>
        <family val="3"/>
        <charset val="129"/>
        <scheme val="none"/>
      </font>
      <numFmt numFmtId="179" formatCode="[Red]_ \▲* #,##0;[Blue]_ \▼* #,##0;\-;@"/>
      <alignment horizontal="general" vertical="center" textRotation="0" wrapText="0" indent="0" justifyLastLine="0" shrinkToFit="0" readingOrder="0"/>
    </dxf>
    <dxf>
      <numFmt numFmtId="3" formatCode="#,##0"/>
      <alignment horizontal="general" vertical="center" textRotation="0" wrapText="0" indent="0" justifyLastLine="0" shrinkToFit="0" readingOrder="0"/>
    </dxf>
    <dxf>
      <numFmt numFmtId="3" formatCode="#,##0"/>
      <alignment horizontal="general" vertical="center" textRotation="0" wrapText="0" indent="0" justifyLastLine="0" shrinkToFit="0" readingOrder="0"/>
    </dxf>
    <dxf>
      <numFmt numFmtId="3" formatCode="#,##0"/>
      <alignment horizontal="general" vertical="center" textRotation="0" wrapText="0" indent="0" justifyLastLine="0" shrinkToFit="0" readingOrder="0"/>
    </dxf>
    <dxf>
      <numFmt numFmtId="3" formatCode="#,##0"/>
      <alignment horizontal="general" vertical="center" textRotation="0" wrapText="0" indent="0" justifyLastLine="0" shrinkToFit="0" readingOrder="0"/>
    </dxf>
    <dxf>
      <numFmt numFmtId="3" formatCode="#,##0"/>
      <alignment horizontal="general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none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FF"/>
      <color rgb="FFFF0000"/>
      <color rgb="FFFFC1C1"/>
      <color rgb="FFFF9999"/>
      <color rgb="FFFF4343"/>
      <color rgb="FFFF00FF"/>
      <color rgb="FFFF66FF"/>
      <color rgb="FFFF5050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주식시세예측!$AD$6</c:f>
              <c:strCache>
                <c:ptCount val="1"/>
                <c:pt idx="0">
                  <c:v>실제값</c:v>
                </c:pt>
              </c:strCache>
            </c:strRef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주식시세예측!$AC$7:$AC$37</c:f>
              <c:numCache>
                <c:formatCode>mm\/dd</c:formatCode>
                <c:ptCount val="31"/>
                <c:pt idx="0">
                  <c:v>44357</c:v>
                </c:pt>
                <c:pt idx="1">
                  <c:v>44358</c:v>
                </c:pt>
                <c:pt idx="2">
                  <c:v>44361</c:v>
                </c:pt>
                <c:pt idx="3">
                  <c:v>44362</c:v>
                </c:pt>
                <c:pt idx="4">
                  <c:v>44363</c:v>
                </c:pt>
                <c:pt idx="5">
                  <c:v>44364</c:v>
                </c:pt>
                <c:pt idx="6">
                  <c:v>44365</c:v>
                </c:pt>
                <c:pt idx="7">
                  <c:v>44368</c:v>
                </c:pt>
                <c:pt idx="8">
                  <c:v>44369</c:v>
                </c:pt>
                <c:pt idx="9">
                  <c:v>44370</c:v>
                </c:pt>
                <c:pt idx="10">
                  <c:v>44371</c:v>
                </c:pt>
                <c:pt idx="11">
                  <c:v>44372</c:v>
                </c:pt>
                <c:pt idx="12">
                  <c:v>44375</c:v>
                </c:pt>
                <c:pt idx="13">
                  <c:v>44376</c:v>
                </c:pt>
                <c:pt idx="14">
                  <c:v>44377</c:v>
                </c:pt>
                <c:pt idx="15">
                  <c:v>44378</c:v>
                </c:pt>
                <c:pt idx="16">
                  <c:v>44379</c:v>
                </c:pt>
                <c:pt idx="17">
                  <c:v>44382</c:v>
                </c:pt>
                <c:pt idx="18">
                  <c:v>44383</c:v>
                </c:pt>
                <c:pt idx="19">
                  <c:v>44384</c:v>
                </c:pt>
                <c:pt idx="20">
                  <c:v>44385</c:v>
                </c:pt>
                <c:pt idx="21">
                  <c:v>44386</c:v>
                </c:pt>
                <c:pt idx="22">
                  <c:v>44389</c:v>
                </c:pt>
                <c:pt idx="23">
                  <c:v>44390</c:v>
                </c:pt>
                <c:pt idx="24">
                  <c:v>44391</c:v>
                </c:pt>
                <c:pt idx="25">
                  <c:v>44392</c:v>
                </c:pt>
                <c:pt idx="26">
                  <c:v>44393</c:v>
                </c:pt>
                <c:pt idx="27">
                  <c:v>44396</c:v>
                </c:pt>
                <c:pt idx="28">
                  <c:v>44397</c:v>
                </c:pt>
                <c:pt idx="29">
                  <c:v>44398</c:v>
                </c:pt>
                <c:pt idx="30">
                  <c:v>44399</c:v>
                </c:pt>
              </c:numCache>
            </c:numRef>
          </c:cat>
          <c:val>
            <c:numRef>
              <c:f>주식시세예측!$AD$7:$AD$37</c:f>
              <c:numCache>
                <c:formatCode>#,##0</c:formatCode>
                <c:ptCount val="31"/>
                <c:pt idx="0">
                  <c:v>37000</c:v>
                </c:pt>
                <c:pt idx="1">
                  <c:v>36900</c:v>
                </c:pt>
                <c:pt idx="2">
                  <c:v>36950</c:v>
                </c:pt>
                <c:pt idx="3">
                  <c:v>36750</c:v>
                </c:pt>
                <c:pt idx="4">
                  <c:v>37500</c:v>
                </c:pt>
                <c:pt idx="5">
                  <c:v>37850</c:v>
                </c:pt>
                <c:pt idx="6">
                  <c:v>40650</c:v>
                </c:pt>
                <c:pt idx="7">
                  <c:v>41600</c:v>
                </c:pt>
                <c:pt idx="8">
                  <c:v>41650</c:v>
                </c:pt>
                <c:pt idx="9">
                  <c:v>41600</c:v>
                </c:pt>
                <c:pt idx="10">
                  <c:v>40700</c:v>
                </c:pt>
                <c:pt idx="11">
                  <c:v>41000</c:v>
                </c:pt>
                <c:pt idx="12">
                  <c:v>41200</c:v>
                </c:pt>
                <c:pt idx="13">
                  <c:v>43900</c:v>
                </c:pt>
                <c:pt idx="14">
                  <c:v>43950</c:v>
                </c:pt>
                <c:pt idx="15">
                  <c:v>42600</c:v>
                </c:pt>
                <c:pt idx="16">
                  <c:v>42550</c:v>
                </c:pt>
                <c:pt idx="17">
                  <c:v>42900</c:v>
                </c:pt>
                <c:pt idx="18">
                  <c:v>41550</c:v>
                </c:pt>
                <c:pt idx="19">
                  <c:v>41000</c:v>
                </c:pt>
                <c:pt idx="20">
                  <c:v>40950</c:v>
                </c:pt>
                <c:pt idx="21">
                  <c:v>40250</c:v>
                </c:pt>
                <c:pt idx="22">
                  <c:v>40600</c:v>
                </c:pt>
                <c:pt idx="23">
                  <c:v>41850</c:v>
                </c:pt>
                <c:pt idx="24">
                  <c:v>45450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60-4EBB-9E45-B18857AA0750}"/>
            </c:ext>
          </c:extLst>
        </c:ser>
        <c:ser>
          <c:idx val="1"/>
          <c:order val="1"/>
          <c:tx>
            <c:strRef>
              <c:f>주식시세예측!$AE$6</c:f>
              <c:strCache>
                <c:ptCount val="1"/>
                <c:pt idx="0">
                  <c:v>예측값</c:v>
                </c:pt>
              </c:strCache>
            </c:strRef>
          </c:tx>
          <c:spPr>
            <a:ln w="28575" cap="rnd">
              <a:solidFill>
                <a:srgbClr val="FF4343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주식시세예측!$AC$7:$AC$37</c:f>
              <c:numCache>
                <c:formatCode>mm\/dd</c:formatCode>
                <c:ptCount val="31"/>
                <c:pt idx="0">
                  <c:v>44357</c:v>
                </c:pt>
                <c:pt idx="1">
                  <c:v>44358</c:v>
                </c:pt>
                <c:pt idx="2">
                  <c:v>44361</c:v>
                </c:pt>
                <c:pt idx="3">
                  <c:v>44362</c:v>
                </c:pt>
                <c:pt idx="4">
                  <c:v>44363</c:v>
                </c:pt>
                <c:pt idx="5">
                  <c:v>44364</c:v>
                </c:pt>
                <c:pt idx="6">
                  <c:v>44365</c:v>
                </c:pt>
                <c:pt idx="7">
                  <c:v>44368</c:v>
                </c:pt>
                <c:pt idx="8">
                  <c:v>44369</c:v>
                </c:pt>
                <c:pt idx="9">
                  <c:v>44370</c:v>
                </c:pt>
                <c:pt idx="10">
                  <c:v>44371</c:v>
                </c:pt>
                <c:pt idx="11">
                  <c:v>44372</c:v>
                </c:pt>
                <c:pt idx="12">
                  <c:v>44375</c:v>
                </c:pt>
                <c:pt idx="13">
                  <c:v>44376</c:v>
                </c:pt>
                <c:pt idx="14">
                  <c:v>44377</c:v>
                </c:pt>
                <c:pt idx="15">
                  <c:v>44378</c:v>
                </c:pt>
                <c:pt idx="16">
                  <c:v>44379</c:v>
                </c:pt>
                <c:pt idx="17">
                  <c:v>44382</c:v>
                </c:pt>
                <c:pt idx="18">
                  <c:v>44383</c:v>
                </c:pt>
                <c:pt idx="19">
                  <c:v>44384</c:v>
                </c:pt>
                <c:pt idx="20">
                  <c:v>44385</c:v>
                </c:pt>
                <c:pt idx="21">
                  <c:v>44386</c:v>
                </c:pt>
                <c:pt idx="22">
                  <c:v>44389</c:v>
                </c:pt>
                <c:pt idx="23">
                  <c:v>44390</c:v>
                </c:pt>
                <c:pt idx="24">
                  <c:v>44391</c:v>
                </c:pt>
                <c:pt idx="25">
                  <c:v>44392</c:v>
                </c:pt>
                <c:pt idx="26">
                  <c:v>44393</c:v>
                </c:pt>
                <c:pt idx="27">
                  <c:v>44396</c:v>
                </c:pt>
                <c:pt idx="28">
                  <c:v>44397</c:v>
                </c:pt>
                <c:pt idx="29">
                  <c:v>44398</c:v>
                </c:pt>
                <c:pt idx="30">
                  <c:v>44399</c:v>
                </c:pt>
              </c:numCache>
            </c:numRef>
          </c:cat>
          <c:val>
            <c:numRef>
              <c:f>주식시세예측!$AE$7:$AE$37</c:f>
              <c:numCache>
                <c:formatCode>#,##0</c:formatCode>
                <c:ptCount val="31"/>
                <c:pt idx="19">
                  <c:v>41614.529914529499</c:v>
                </c:pt>
                <c:pt idx="20">
                  <c:v>41679.059829058999</c:v>
                </c:pt>
                <c:pt idx="21">
                  <c:v>41743.589743588498</c:v>
                </c:pt>
                <c:pt idx="22">
                  <c:v>41808.119658117997</c:v>
                </c:pt>
                <c:pt idx="23">
                  <c:v>41872.649572647497</c:v>
                </c:pt>
                <c:pt idx="24">
                  <c:v>45450</c:v>
                </c:pt>
                <c:pt idx="25">
                  <c:v>45543.089430894302</c:v>
                </c:pt>
                <c:pt idx="26">
                  <c:v>45636.178861788598</c:v>
                </c:pt>
                <c:pt idx="27">
                  <c:v>45729.2682926829</c:v>
                </c:pt>
                <c:pt idx="28">
                  <c:v>45822.357723577203</c:v>
                </c:pt>
                <c:pt idx="29">
                  <c:v>45915.447154471498</c:v>
                </c:pt>
                <c:pt idx="30">
                  <c:v>46008.536585365902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60-4EBB-9E45-B18857AA0750}"/>
            </c:ext>
          </c:extLst>
        </c:ser>
        <c:ser>
          <c:idx val="2"/>
          <c:order val="2"/>
          <c:tx>
            <c:strRef>
              <c:f>주식시세예측!$AF$6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주식시세예측!$AC$7:$AC$37</c:f>
              <c:numCache>
                <c:formatCode>mm\/dd</c:formatCode>
                <c:ptCount val="31"/>
                <c:pt idx="0">
                  <c:v>44357</c:v>
                </c:pt>
                <c:pt idx="1">
                  <c:v>44358</c:v>
                </c:pt>
                <c:pt idx="2">
                  <c:v>44361</c:v>
                </c:pt>
                <c:pt idx="3">
                  <c:v>44362</c:v>
                </c:pt>
                <c:pt idx="4">
                  <c:v>44363</c:v>
                </c:pt>
                <c:pt idx="5">
                  <c:v>44364</c:v>
                </c:pt>
                <c:pt idx="6">
                  <c:v>44365</c:v>
                </c:pt>
                <c:pt idx="7">
                  <c:v>44368</c:v>
                </c:pt>
                <c:pt idx="8">
                  <c:v>44369</c:v>
                </c:pt>
                <c:pt idx="9">
                  <c:v>44370</c:v>
                </c:pt>
                <c:pt idx="10">
                  <c:v>44371</c:v>
                </c:pt>
                <c:pt idx="11">
                  <c:v>44372</c:v>
                </c:pt>
                <c:pt idx="12">
                  <c:v>44375</c:v>
                </c:pt>
                <c:pt idx="13">
                  <c:v>44376</c:v>
                </c:pt>
                <c:pt idx="14">
                  <c:v>44377</c:v>
                </c:pt>
                <c:pt idx="15">
                  <c:v>44378</c:v>
                </c:pt>
                <c:pt idx="16">
                  <c:v>44379</c:v>
                </c:pt>
                <c:pt idx="17">
                  <c:v>44382</c:v>
                </c:pt>
                <c:pt idx="18">
                  <c:v>44383</c:v>
                </c:pt>
                <c:pt idx="19">
                  <c:v>44384</c:v>
                </c:pt>
                <c:pt idx="20">
                  <c:v>44385</c:v>
                </c:pt>
                <c:pt idx="21">
                  <c:v>44386</c:v>
                </c:pt>
                <c:pt idx="22">
                  <c:v>44389</c:v>
                </c:pt>
                <c:pt idx="23">
                  <c:v>44390</c:v>
                </c:pt>
                <c:pt idx="24">
                  <c:v>44391</c:v>
                </c:pt>
                <c:pt idx="25">
                  <c:v>44392</c:v>
                </c:pt>
                <c:pt idx="26">
                  <c:v>44393</c:v>
                </c:pt>
                <c:pt idx="27">
                  <c:v>44396</c:v>
                </c:pt>
                <c:pt idx="28">
                  <c:v>44397</c:v>
                </c:pt>
                <c:pt idx="29">
                  <c:v>44398</c:v>
                </c:pt>
                <c:pt idx="30">
                  <c:v>44399</c:v>
                </c:pt>
              </c:numCache>
            </c:numRef>
          </c:cat>
          <c:val>
            <c:numRef>
              <c:f>주식시세예측!$AF$7:$AF$37</c:f>
              <c:numCache>
                <c:formatCode>#,##0</c:formatCode>
                <c:ptCount val="31"/>
                <c:pt idx="24">
                  <c:v>45450</c:v>
                </c:pt>
                <c:pt idx="25">
                  <c:v>46225.713598098613</c:v>
                </c:pt>
                <c:pt idx="26">
                  <c:v>46448.669820515861</c:v>
                </c:pt>
                <c:pt idx="27">
                  <c:v>47426.181736254526</c:v>
                </c:pt>
                <c:pt idx="28">
                  <c:v>47185.877209960665</c:v>
                </c:pt>
                <c:pt idx="29">
                  <c:v>45940.296981376334</c:v>
                </c:pt>
                <c:pt idx="30">
                  <c:v>49564.52626813898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60-4EBB-9E45-B18857AA0750}"/>
            </c:ext>
          </c:extLst>
        </c:ser>
        <c:ser>
          <c:idx val="3"/>
          <c:order val="3"/>
          <c:tx>
            <c:strRef>
              <c:f>주식시세예측!$AG$6</c:f>
              <c:strCache>
                <c:ptCount val="1"/>
                <c:pt idx="0">
                  <c:v>LOW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주식시세예측!$AC$7:$AC$37</c:f>
              <c:numCache>
                <c:formatCode>mm\/dd</c:formatCode>
                <c:ptCount val="31"/>
                <c:pt idx="0">
                  <c:v>44357</c:v>
                </c:pt>
                <c:pt idx="1">
                  <c:v>44358</c:v>
                </c:pt>
                <c:pt idx="2">
                  <c:v>44361</c:v>
                </c:pt>
                <c:pt idx="3">
                  <c:v>44362</c:v>
                </c:pt>
                <c:pt idx="4">
                  <c:v>44363</c:v>
                </c:pt>
                <c:pt idx="5">
                  <c:v>44364</c:v>
                </c:pt>
                <c:pt idx="6">
                  <c:v>44365</c:v>
                </c:pt>
                <c:pt idx="7">
                  <c:v>44368</c:v>
                </c:pt>
                <c:pt idx="8">
                  <c:v>44369</c:v>
                </c:pt>
                <c:pt idx="9">
                  <c:v>44370</c:v>
                </c:pt>
                <c:pt idx="10">
                  <c:v>44371</c:v>
                </c:pt>
                <c:pt idx="11">
                  <c:v>44372</c:v>
                </c:pt>
                <c:pt idx="12">
                  <c:v>44375</c:v>
                </c:pt>
                <c:pt idx="13">
                  <c:v>44376</c:v>
                </c:pt>
                <c:pt idx="14">
                  <c:v>44377</c:v>
                </c:pt>
                <c:pt idx="15">
                  <c:v>44378</c:v>
                </c:pt>
                <c:pt idx="16">
                  <c:v>44379</c:v>
                </c:pt>
                <c:pt idx="17">
                  <c:v>44382</c:v>
                </c:pt>
                <c:pt idx="18">
                  <c:v>44383</c:v>
                </c:pt>
                <c:pt idx="19">
                  <c:v>44384</c:v>
                </c:pt>
                <c:pt idx="20">
                  <c:v>44385</c:v>
                </c:pt>
                <c:pt idx="21">
                  <c:v>44386</c:v>
                </c:pt>
                <c:pt idx="22">
                  <c:v>44389</c:v>
                </c:pt>
                <c:pt idx="23">
                  <c:v>44390</c:v>
                </c:pt>
                <c:pt idx="24">
                  <c:v>44391</c:v>
                </c:pt>
                <c:pt idx="25">
                  <c:v>44392</c:v>
                </c:pt>
                <c:pt idx="26">
                  <c:v>44393</c:v>
                </c:pt>
                <c:pt idx="27">
                  <c:v>44396</c:v>
                </c:pt>
                <c:pt idx="28">
                  <c:v>44397</c:v>
                </c:pt>
                <c:pt idx="29">
                  <c:v>44398</c:v>
                </c:pt>
                <c:pt idx="30">
                  <c:v>44399</c:v>
                </c:pt>
              </c:numCache>
            </c:numRef>
          </c:cat>
          <c:val>
            <c:numRef>
              <c:f>주식시세예측!$AG$7:$AG$37</c:f>
              <c:numCache>
                <c:formatCode>#,##0</c:formatCode>
                <c:ptCount val="31"/>
                <c:pt idx="24">
                  <c:v>45450</c:v>
                </c:pt>
                <c:pt idx="25">
                  <c:v>44860.465263689992</c:v>
                </c:pt>
                <c:pt idx="26">
                  <c:v>44823.687903061335</c:v>
                </c:pt>
                <c:pt idx="27">
                  <c:v>44032.354849111274</c:v>
                </c:pt>
                <c:pt idx="28">
                  <c:v>44458.83823719374</c:v>
                </c:pt>
                <c:pt idx="29">
                  <c:v>45890.597327566662</c:v>
                </c:pt>
                <c:pt idx="30">
                  <c:v>42452.546902592825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60-4EBB-9E45-B18857AA0750}"/>
            </c:ext>
          </c:extLst>
        </c:ser>
        <c:ser>
          <c:idx val="4"/>
          <c:order val="4"/>
          <c:tx>
            <c:strRef>
              <c:f>주식시세예측!$AH$6</c:f>
              <c:strCache>
                <c:ptCount val="1"/>
                <c:pt idx="0">
                  <c:v>AvgHigh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주식시세예측!$AC$7:$AC$37</c:f>
              <c:numCache>
                <c:formatCode>mm\/dd</c:formatCode>
                <c:ptCount val="31"/>
                <c:pt idx="0">
                  <c:v>44357</c:v>
                </c:pt>
                <c:pt idx="1">
                  <c:v>44358</c:v>
                </c:pt>
                <c:pt idx="2">
                  <c:v>44361</c:v>
                </c:pt>
                <c:pt idx="3">
                  <c:v>44362</c:v>
                </c:pt>
                <c:pt idx="4">
                  <c:v>44363</c:v>
                </c:pt>
                <c:pt idx="5">
                  <c:v>44364</c:v>
                </c:pt>
                <c:pt idx="6">
                  <c:v>44365</c:v>
                </c:pt>
                <c:pt idx="7">
                  <c:v>44368</c:v>
                </c:pt>
                <c:pt idx="8">
                  <c:v>44369</c:v>
                </c:pt>
                <c:pt idx="9">
                  <c:v>44370</c:v>
                </c:pt>
                <c:pt idx="10">
                  <c:v>44371</c:v>
                </c:pt>
                <c:pt idx="11">
                  <c:v>44372</c:v>
                </c:pt>
                <c:pt idx="12">
                  <c:v>44375</c:v>
                </c:pt>
                <c:pt idx="13">
                  <c:v>44376</c:v>
                </c:pt>
                <c:pt idx="14">
                  <c:v>44377</c:v>
                </c:pt>
                <c:pt idx="15">
                  <c:v>44378</c:v>
                </c:pt>
                <c:pt idx="16">
                  <c:v>44379</c:v>
                </c:pt>
                <c:pt idx="17">
                  <c:v>44382</c:v>
                </c:pt>
                <c:pt idx="18">
                  <c:v>44383</c:v>
                </c:pt>
                <c:pt idx="19">
                  <c:v>44384</c:v>
                </c:pt>
                <c:pt idx="20">
                  <c:v>44385</c:v>
                </c:pt>
                <c:pt idx="21">
                  <c:v>44386</c:v>
                </c:pt>
                <c:pt idx="22">
                  <c:v>44389</c:v>
                </c:pt>
                <c:pt idx="23">
                  <c:v>44390</c:v>
                </c:pt>
                <c:pt idx="24">
                  <c:v>44391</c:v>
                </c:pt>
                <c:pt idx="25">
                  <c:v>44392</c:v>
                </c:pt>
                <c:pt idx="26">
                  <c:v>44393</c:v>
                </c:pt>
                <c:pt idx="27">
                  <c:v>44396</c:v>
                </c:pt>
                <c:pt idx="28">
                  <c:v>44397</c:v>
                </c:pt>
                <c:pt idx="29">
                  <c:v>44398</c:v>
                </c:pt>
                <c:pt idx="30">
                  <c:v>44399</c:v>
                </c:pt>
              </c:numCache>
            </c:numRef>
          </c:cat>
          <c:val>
            <c:numRef>
              <c:f>주식시세예측!$AH$7:$AH$37</c:f>
              <c:numCache>
                <c:formatCode>#,##0</c:formatCode>
                <c:ptCount val="31"/>
                <c:pt idx="19">
                  <c:v>42845.540723251252</c:v>
                </c:pt>
                <c:pt idx="20">
                  <c:v>42911.979514858896</c:v>
                </c:pt>
                <c:pt idx="21">
                  <c:v>42978.418306466541</c:v>
                </c:pt>
                <c:pt idx="22">
                  <c:v>43044.857098074193</c:v>
                </c:pt>
                <c:pt idx="23">
                  <c:v>43111.295889681838</c:v>
                </c:pt>
                <c:pt idx="24">
                  <c:v>46794.468899956722</c:v>
                </c:pt>
                <c:pt idx="25">
                  <c:v>46890.312034805967</c:v>
                </c:pt>
                <c:pt idx="26">
                  <c:v>46986.155169655205</c:v>
                </c:pt>
                <c:pt idx="27">
                  <c:v>47081.998304504443</c:v>
                </c:pt>
                <c:pt idx="28">
                  <c:v>47177.841439353688</c:v>
                </c:pt>
                <c:pt idx="29">
                  <c:v>47273.684574202925</c:v>
                </c:pt>
                <c:pt idx="30">
                  <c:v>47369.527709052272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3F-4CCC-8A5D-FD649DE2B42B}"/>
            </c:ext>
          </c:extLst>
        </c:ser>
        <c:ser>
          <c:idx val="5"/>
          <c:order val="5"/>
          <c:tx>
            <c:strRef>
              <c:f>주식시세예측!$AI$6</c:f>
              <c:strCache>
                <c:ptCount val="1"/>
                <c:pt idx="0">
                  <c:v>AvgLow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주식시세예측!$AC$7:$AC$37</c:f>
              <c:numCache>
                <c:formatCode>mm\/dd</c:formatCode>
                <c:ptCount val="31"/>
                <c:pt idx="0">
                  <c:v>44357</c:v>
                </c:pt>
                <c:pt idx="1">
                  <c:v>44358</c:v>
                </c:pt>
                <c:pt idx="2">
                  <c:v>44361</c:v>
                </c:pt>
                <c:pt idx="3">
                  <c:v>44362</c:v>
                </c:pt>
                <c:pt idx="4">
                  <c:v>44363</c:v>
                </c:pt>
                <c:pt idx="5">
                  <c:v>44364</c:v>
                </c:pt>
                <c:pt idx="6">
                  <c:v>44365</c:v>
                </c:pt>
                <c:pt idx="7">
                  <c:v>44368</c:v>
                </c:pt>
                <c:pt idx="8">
                  <c:v>44369</c:v>
                </c:pt>
                <c:pt idx="9">
                  <c:v>44370</c:v>
                </c:pt>
                <c:pt idx="10">
                  <c:v>44371</c:v>
                </c:pt>
                <c:pt idx="11">
                  <c:v>44372</c:v>
                </c:pt>
                <c:pt idx="12">
                  <c:v>44375</c:v>
                </c:pt>
                <c:pt idx="13">
                  <c:v>44376</c:v>
                </c:pt>
                <c:pt idx="14">
                  <c:v>44377</c:v>
                </c:pt>
                <c:pt idx="15">
                  <c:v>44378</c:v>
                </c:pt>
                <c:pt idx="16">
                  <c:v>44379</c:v>
                </c:pt>
                <c:pt idx="17">
                  <c:v>44382</c:v>
                </c:pt>
                <c:pt idx="18">
                  <c:v>44383</c:v>
                </c:pt>
                <c:pt idx="19">
                  <c:v>44384</c:v>
                </c:pt>
                <c:pt idx="20">
                  <c:v>44385</c:v>
                </c:pt>
                <c:pt idx="21">
                  <c:v>44386</c:v>
                </c:pt>
                <c:pt idx="22">
                  <c:v>44389</c:v>
                </c:pt>
                <c:pt idx="23">
                  <c:v>44390</c:v>
                </c:pt>
                <c:pt idx="24">
                  <c:v>44391</c:v>
                </c:pt>
                <c:pt idx="25">
                  <c:v>44392</c:v>
                </c:pt>
                <c:pt idx="26">
                  <c:v>44393</c:v>
                </c:pt>
                <c:pt idx="27">
                  <c:v>44396</c:v>
                </c:pt>
                <c:pt idx="28">
                  <c:v>44397</c:v>
                </c:pt>
                <c:pt idx="29">
                  <c:v>44398</c:v>
                </c:pt>
                <c:pt idx="30">
                  <c:v>44399</c:v>
                </c:pt>
              </c:numCache>
            </c:numRef>
          </c:cat>
          <c:val>
            <c:numRef>
              <c:f>주식시세예측!$AI$7:$AI$37</c:f>
              <c:numCache>
                <c:formatCode>#,##0</c:formatCode>
                <c:ptCount val="31"/>
                <c:pt idx="19">
                  <c:v>40383.519105807747</c:v>
                </c:pt>
                <c:pt idx="20">
                  <c:v>40446.140143259101</c:v>
                </c:pt>
                <c:pt idx="21">
                  <c:v>40508.761180710455</c:v>
                </c:pt>
                <c:pt idx="22">
                  <c:v>40571.382218161802</c:v>
                </c:pt>
                <c:pt idx="23">
                  <c:v>40634.003255613155</c:v>
                </c:pt>
                <c:pt idx="24">
                  <c:v>44105.531100043278</c:v>
                </c:pt>
                <c:pt idx="25">
                  <c:v>44195.866826982638</c:v>
                </c:pt>
                <c:pt idx="26">
                  <c:v>44286.20255392199</c:v>
                </c:pt>
                <c:pt idx="27">
                  <c:v>44376.538280861358</c:v>
                </c:pt>
                <c:pt idx="28">
                  <c:v>44466.874007800718</c:v>
                </c:pt>
                <c:pt idx="29">
                  <c:v>44557.20973474007</c:v>
                </c:pt>
                <c:pt idx="30">
                  <c:v>44647.545461679532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3F-4CCC-8A5D-FD649DE2B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0277808"/>
        <c:axId val="850278224"/>
      </c:lineChart>
      <c:catAx>
        <c:axId val="850277808"/>
        <c:scaling>
          <c:orientation val="minMax"/>
        </c:scaling>
        <c:delete val="0"/>
        <c:axPos val="b"/>
        <c:numFmt formatCode="mm\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0278224"/>
        <c:crosses val="autoZero"/>
        <c:auto val="0"/>
        <c:lblAlgn val="ctr"/>
        <c:lblOffset val="100"/>
        <c:noMultiLvlLbl val="0"/>
      </c:catAx>
      <c:valAx>
        <c:axId val="850278224"/>
        <c:scaling>
          <c:orientation val="minMax"/>
          <c:max val="52042.75258154593"/>
          <c:min val="34912.5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027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74475083587328272"/>
          <c:y val="2.6687867527309533E-2"/>
          <c:w val="0.2359383682344508"/>
          <c:h val="5.30486003115813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tockChart>
        <c:ser>
          <c:idx val="0"/>
          <c:order val="0"/>
          <c:tx>
            <c:strRef>
              <c:f>주식시세예측!$G$6</c:f>
              <c:strCache>
                <c:ptCount val="1"/>
                <c:pt idx="0">
                  <c:v>시가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주식시세예측!$F$7:$F$130</c:f>
              <c:numCache>
                <c:formatCode>m/d/yyyy</c:formatCode>
                <c:ptCount val="124"/>
                <c:pt idx="0">
                  <c:v>44211</c:v>
                </c:pt>
                <c:pt idx="1">
                  <c:v>44214</c:v>
                </c:pt>
                <c:pt idx="2">
                  <c:v>44215</c:v>
                </c:pt>
                <c:pt idx="3">
                  <c:v>44216</c:v>
                </c:pt>
                <c:pt idx="4">
                  <c:v>44217</c:v>
                </c:pt>
                <c:pt idx="5">
                  <c:v>44218</c:v>
                </c:pt>
                <c:pt idx="6">
                  <c:v>44221</c:v>
                </c:pt>
                <c:pt idx="7">
                  <c:v>44222</c:v>
                </c:pt>
                <c:pt idx="8">
                  <c:v>44223</c:v>
                </c:pt>
                <c:pt idx="9">
                  <c:v>44224</c:v>
                </c:pt>
                <c:pt idx="10">
                  <c:v>44225</c:v>
                </c:pt>
                <c:pt idx="11">
                  <c:v>44228</c:v>
                </c:pt>
                <c:pt idx="12">
                  <c:v>44229</c:v>
                </c:pt>
                <c:pt idx="13">
                  <c:v>44230</c:v>
                </c:pt>
                <c:pt idx="14">
                  <c:v>44231</c:v>
                </c:pt>
                <c:pt idx="15">
                  <c:v>44232</c:v>
                </c:pt>
                <c:pt idx="16">
                  <c:v>44235</c:v>
                </c:pt>
                <c:pt idx="17">
                  <c:v>44236</c:v>
                </c:pt>
                <c:pt idx="18">
                  <c:v>44237</c:v>
                </c:pt>
                <c:pt idx="19">
                  <c:v>44242</c:v>
                </c:pt>
                <c:pt idx="20">
                  <c:v>44243</c:v>
                </c:pt>
                <c:pt idx="21">
                  <c:v>44244</c:v>
                </c:pt>
                <c:pt idx="22">
                  <c:v>44245</c:v>
                </c:pt>
                <c:pt idx="23">
                  <c:v>44246</c:v>
                </c:pt>
                <c:pt idx="24">
                  <c:v>44249</c:v>
                </c:pt>
                <c:pt idx="25">
                  <c:v>44250</c:v>
                </c:pt>
                <c:pt idx="26">
                  <c:v>44251</c:v>
                </c:pt>
                <c:pt idx="27">
                  <c:v>44252</c:v>
                </c:pt>
                <c:pt idx="28">
                  <c:v>44253</c:v>
                </c:pt>
                <c:pt idx="29">
                  <c:v>44257</c:v>
                </c:pt>
                <c:pt idx="30">
                  <c:v>44258</c:v>
                </c:pt>
                <c:pt idx="31">
                  <c:v>44259</c:v>
                </c:pt>
                <c:pt idx="32">
                  <c:v>44260</c:v>
                </c:pt>
                <c:pt idx="33">
                  <c:v>44263</c:v>
                </c:pt>
                <c:pt idx="34">
                  <c:v>44264</c:v>
                </c:pt>
                <c:pt idx="35">
                  <c:v>44265</c:v>
                </c:pt>
                <c:pt idx="36">
                  <c:v>44266</c:v>
                </c:pt>
                <c:pt idx="37">
                  <c:v>44267</c:v>
                </c:pt>
                <c:pt idx="38">
                  <c:v>44270</c:v>
                </c:pt>
                <c:pt idx="39">
                  <c:v>44271</c:v>
                </c:pt>
                <c:pt idx="40">
                  <c:v>44272</c:v>
                </c:pt>
                <c:pt idx="41">
                  <c:v>44273</c:v>
                </c:pt>
                <c:pt idx="42">
                  <c:v>44274</c:v>
                </c:pt>
                <c:pt idx="43">
                  <c:v>44277</c:v>
                </c:pt>
                <c:pt idx="44">
                  <c:v>44278</c:v>
                </c:pt>
                <c:pt idx="45">
                  <c:v>44279</c:v>
                </c:pt>
                <c:pt idx="46">
                  <c:v>44280</c:v>
                </c:pt>
                <c:pt idx="47">
                  <c:v>44281</c:v>
                </c:pt>
                <c:pt idx="48">
                  <c:v>44284</c:v>
                </c:pt>
                <c:pt idx="49">
                  <c:v>44285</c:v>
                </c:pt>
                <c:pt idx="50">
                  <c:v>44286</c:v>
                </c:pt>
                <c:pt idx="51">
                  <c:v>44287</c:v>
                </c:pt>
                <c:pt idx="52">
                  <c:v>44288</c:v>
                </c:pt>
                <c:pt idx="53">
                  <c:v>44291</c:v>
                </c:pt>
                <c:pt idx="54">
                  <c:v>44292</c:v>
                </c:pt>
                <c:pt idx="55">
                  <c:v>44293</c:v>
                </c:pt>
                <c:pt idx="56">
                  <c:v>44294</c:v>
                </c:pt>
                <c:pt idx="57">
                  <c:v>44295</c:v>
                </c:pt>
                <c:pt idx="58">
                  <c:v>44298</c:v>
                </c:pt>
                <c:pt idx="59">
                  <c:v>44299</c:v>
                </c:pt>
                <c:pt idx="60">
                  <c:v>44300</c:v>
                </c:pt>
                <c:pt idx="61">
                  <c:v>44301</c:v>
                </c:pt>
                <c:pt idx="62">
                  <c:v>44302</c:v>
                </c:pt>
                <c:pt idx="63">
                  <c:v>44305</c:v>
                </c:pt>
                <c:pt idx="64">
                  <c:v>44306</c:v>
                </c:pt>
                <c:pt idx="65">
                  <c:v>44307</c:v>
                </c:pt>
                <c:pt idx="66">
                  <c:v>44308</c:v>
                </c:pt>
                <c:pt idx="67">
                  <c:v>44309</c:v>
                </c:pt>
                <c:pt idx="68">
                  <c:v>44312</c:v>
                </c:pt>
                <c:pt idx="69">
                  <c:v>44313</c:v>
                </c:pt>
                <c:pt idx="70">
                  <c:v>44314</c:v>
                </c:pt>
                <c:pt idx="71">
                  <c:v>44315</c:v>
                </c:pt>
                <c:pt idx="72">
                  <c:v>44316</c:v>
                </c:pt>
                <c:pt idx="73">
                  <c:v>44319</c:v>
                </c:pt>
                <c:pt idx="74">
                  <c:v>44320</c:v>
                </c:pt>
                <c:pt idx="75">
                  <c:v>44322</c:v>
                </c:pt>
                <c:pt idx="76">
                  <c:v>44323</c:v>
                </c:pt>
                <c:pt idx="77">
                  <c:v>44326</c:v>
                </c:pt>
                <c:pt idx="78">
                  <c:v>44327</c:v>
                </c:pt>
                <c:pt idx="79">
                  <c:v>44328</c:v>
                </c:pt>
                <c:pt idx="80">
                  <c:v>44329</c:v>
                </c:pt>
                <c:pt idx="81">
                  <c:v>44330</c:v>
                </c:pt>
                <c:pt idx="82">
                  <c:v>44333</c:v>
                </c:pt>
                <c:pt idx="83">
                  <c:v>44334</c:v>
                </c:pt>
                <c:pt idx="84">
                  <c:v>44336</c:v>
                </c:pt>
                <c:pt idx="85">
                  <c:v>44337</c:v>
                </c:pt>
                <c:pt idx="86">
                  <c:v>44340</c:v>
                </c:pt>
                <c:pt idx="87">
                  <c:v>44341</c:v>
                </c:pt>
                <c:pt idx="88">
                  <c:v>44342</c:v>
                </c:pt>
                <c:pt idx="89">
                  <c:v>44343</c:v>
                </c:pt>
                <c:pt idx="90">
                  <c:v>44344</c:v>
                </c:pt>
                <c:pt idx="91">
                  <c:v>44347</c:v>
                </c:pt>
                <c:pt idx="92">
                  <c:v>44348</c:v>
                </c:pt>
                <c:pt idx="93">
                  <c:v>44349</c:v>
                </c:pt>
                <c:pt idx="94">
                  <c:v>44350</c:v>
                </c:pt>
                <c:pt idx="95">
                  <c:v>44351</c:v>
                </c:pt>
                <c:pt idx="96">
                  <c:v>44354</c:v>
                </c:pt>
                <c:pt idx="97">
                  <c:v>44355</c:v>
                </c:pt>
                <c:pt idx="98">
                  <c:v>44356</c:v>
                </c:pt>
                <c:pt idx="99">
                  <c:v>44357</c:v>
                </c:pt>
                <c:pt idx="100">
                  <c:v>44358</c:v>
                </c:pt>
                <c:pt idx="101">
                  <c:v>44361</c:v>
                </c:pt>
                <c:pt idx="102">
                  <c:v>44362</c:v>
                </c:pt>
                <c:pt idx="103">
                  <c:v>44363</c:v>
                </c:pt>
                <c:pt idx="104">
                  <c:v>44364</c:v>
                </c:pt>
                <c:pt idx="105">
                  <c:v>44365</c:v>
                </c:pt>
                <c:pt idx="106">
                  <c:v>44368</c:v>
                </c:pt>
                <c:pt idx="107">
                  <c:v>44369</c:v>
                </c:pt>
                <c:pt idx="108">
                  <c:v>44370</c:v>
                </c:pt>
                <c:pt idx="109">
                  <c:v>44371</c:v>
                </c:pt>
                <c:pt idx="110">
                  <c:v>44372</c:v>
                </c:pt>
                <c:pt idx="111">
                  <c:v>44375</c:v>
                </c:pt>
                <c:pt idx="112">
                  <c:v>44376</c:v>
                </c:pt>
                <c:pt idx="113">
                  <c:v>44377</c:v>
                </c:pt>
                <c:pt idx="114">
                  <c:v>44378</c:v>
                </c:pt>
                <c:pt idx="115">
                  <c:v>44379</c:v>
                </c:pt>
                <c:pt idx="116">
                  <c:v>44382</c:v>
                </c:pt>
                <c:pt idx="117">
                  <c:v>44383</c:v>
                </c:pt>
                <c:pt idx="118">
                  <c:v>44384</c:v>
                </c:pt>
                <c:pt idx="119">
                  <c:v>44385</c:v>
                </c:pt>
                <c:pt idx="120">
                  <c:v>44386</c:v>
                </c:pt>
                <c:pt idx="121">
                  <c:v>44389</c:v>
                </c:pt>
                <c:pt idx="122">
                  <c:v>44390</c:v>
                </c:pt>
                <c:pt idx="123">
                  <c:v>44391</c:v>
                </c:pt>
              </c:numCache>
            </c:numRef>
          </c:cat>
          <c:val>
            <c:numRef>
              <c:f>주식시세예측!$G$7:$G$130</c:f>
              <c:numCache>
                <c:formatCode>#,##0</c:formatCode>
                <c:ptCount val="124"/>
                <c:pt idx="0">
                  <c:v>35250</c:v>
                </c:pt>
                <c:pt idx="1">
                  <c:v>33800</c:v>
                </c:pt>
                <c:pt idx="2">
                  <c:v>33000</c:v>
                </c:pt>
                <c:pt idx="3">
                  <c:v>33600</c:v>
                </c:pt>
                <c:pt idx="4">
                  <c:v>34750</c:v>
                </c:pt>
                <c:pt idx="5">
                  <c:v>33700</c:v>
                </c:pt>
                <c:pt idx="6">
                  <c:v>32950</c:v>
                </c:pt>
                <c:pt idx="7">
                  <c:v>34900</c:v>
                </c:pt>
                <c:pt idx="8">
                  <c:v>34500</c:v>
                </c:pt>
                <c:pt idx="9">
                  <c:v>33000</c:v>
                </c:pt>
                <c:pt idx="10">
                  <c:v>33100</c:v>
                </c:pt>
                <c:pt idx="11">
                  <c:v>31600</c:v>
                </c:pt>
                <c:pt idx="12">
                  <c:v>32800</c:v>
                </c:pt>
                <c:pt idx="13">
                  <c:v>32950</c:v>
                </c:pt>
                <c:pt idx="14">
                  <c:v>32750</c:v>
                </c:pt>
                <c:pt idx="15">
                  <c:v>32100</c:v>
                </c:pt>
                <c:pt idx="16">
                  <c:v>32350</c:v>
                </c:pt>
                <c:pt idx="17">
                  <c:v>32050</c:v>
                </c:pt>
                <c:pt idx="18">
                  <c:v>31250</c:v>
                </c:pt>
                <c:pt idx="19">
                  <c:v>31300</c:v>
                </c:pt>
                <c:pt idx="20">
                  <c:v>31050</c:v>
                </c:pt>
                <c:pt idx="21">
                  <c:v>30150</c:v>
                </c:pt>
                <c:pt idx="22">
                  <c:v>31800</c:v>
                </c:pt>
                <c:pt idx="23">
                  <c:v>31850</c:v>
                </c:pt>
                <c:pt idx="24">
                  <c:v>32550</c:v>
                </c:pt>
                <c:pt idx="25">
                  <c:v>31900</c:v>
                </c:pt>
                <c:pt idx="26">
                  <c:v>30900</c:v>
                </c:pt>
                <c:pt idx="27">
                  <c:v>29800</c:v>
                </c:pt>
                <c:pt idx="28">
                  <c:v>29450</c:v>
                </c:pt>
                <c:pt idx="29">
                  <c:v>28900</c:v>
                </c:pt>
                <c:pt idx="30">
                  <c:v>28750</c:v>
                </c:pt>
                <c:pt idx="31">
                  <c:v>28900</c:v>
                </c:pt>
                <c:pt idx="32">
                  <c:v>28100</c:v>
                </c:pt>
                <c:pt idx="33">
                  <c:v>29000</c:v>
                </c:pt>
                <c:pt idx="34">
                  <c:v>28050</c:v>
                </c:pt>
                <c:pt idx="35">
                  <c:v>28950</c:v>
                </c:pt>
                <c:pt idx="36">
                  <c:v>28500</c:v>
                </c:pt>
                <c:pt idx="37">
                  <c:v>29600</c:v>
                </c:pt>
                <c:pt idx="38">
                  <c:v>30800</c:v>
                </c:pt>
                <c:pt idx="39">
                  <c:v>30400</c:v>
                </c:pt>
                <c:pt idx="40">
                  <c:v>30750</c:v>
                </c:pt>
                <c:pt idx="41">
                  <c:v>32650</c:v>
                </c:pt>
                <c:pt idx="42">
                  <c:v>31800</c:v>
                </c:pt>
                <c:pt idx="43">
                  <c:v>35000</c:v>
                </c:pt>
                <c:pt idx="44">
                  <c:v>36250</c:v>
                </c:pt>
                <c:pt idx="45">
                  <c:v>35350</c:v>
                </c:pt>
                <c:pt idx="46">
                  <c:v>38850</c:v>
                </c:pt>
                <c:pt idx="47">
                  <c:v>38400</c:v>
                </c:pt>
                <c:pt idx="48">
                  <c:v>39100</c:v>
                </c:pt>
                <c:pt idx="49">
                  <c:v>38800</c:v>
                </c:pt>
                <c:pt idx="50">
                  <c:v>38600</c:v>
                </c:pt>
                <c:pt idx="51">
                  <c:v>38150</c:v>
                </c:pt>
                <c:pt idx="52">
                  <c:v>38600</c:v>
                </c:pt>
                <c:pt idx="53">
                  <c:v>39150</c:v>
                </c:pt>
                <c:pt idx="54">
                  <c:v>41500</c:v>
                </c:pt>
                <c:pt idx="55">
                  <c:v>39900</c:v>
                </c:pt>
                <c:pt idx="56">
                  <c:v>37900</c:v>
                </c:pt>
                <c:pt idx="57">
                  <c:v>40150</c:v>
                </c:pt>
                <c:pt idx="58">
                  <c:v>39150</c:v>
                </c:pt>
                <c:pt idx="59">
                  <c:v>38650</c:v>
                </c:pt>
                <c:pt idx="60">
                  <c:v>38600</c:v>
                </c:pt>
                <c:pt idx="61">
                  <c:v>38900</c:v>
                </c:pt>
                <c:pt idx="62">
                  <c:v>39000</c:v>
                </c:pt>
                <c:pt idx="63">
                  <c:v>37900</c:v>
                </c:pt>
                <c:pt idx="64">
                  <c:v>37050</c:v>
                </c:pt>
                <c:pt idx="65">
                  <c:v>36750</c:v>
                </c:pt>
                <c:pt idx="66">
                  <c:v>37100</c:v>
                </c:pt>
                <c:pt idx="67">
                  <c:v>37400</c:v>
                </c:pt>
                <c:pt idx="68">
                  <c:v>38050</c:v>
                </c:pt>
                <c:pt idx="69">
                  <c:v>37200</c:v>
                </c:pt>
                <c:pt idx="70">
                  <c:v>36300</c:v>
                </c:pt>
                <c:pt idx="71">
                  <c:v>34850</c:v>
                </c:pt>
                <c:pt idx="72">
                  <c:v>35200</c:v>
                </c:pt>
                <c:pt idx="73">
                  <c:v>33800</c:v>
                </c:pt>
                <c:pt idx="74">
                  <c:v>33850</c:v>
                </c:pt>
                <c:pt idx="75">
                  <c:v>34550</c:v>
                </c:pt>
                <c:pt idx="76">
                  <c:v>34000</c:v>
                </c:pt>
                <c:pt idx="77">
                  <c:v>34350</c:v>
                </c:pt>
                <c:pt idx="78">
                  <c:v>35050</c:v>
                </c:pt>
                <c:pt idx="79">
                  <c:v>36000</c:v>
                </c:pt>
                <c:pt idx="80">
                  <c:v>37300</c:v>
                </c:pt>
                <c:pt idx="81">
                  <c:v>38900</c:v>
                </c:pt>
                <c:pt idx="82">
                  <c:v>38450</c:v>
                </c:pt>
                <c:pt idx="83">
                  <c:v>37300</c:v>
                </c:pt>
                <c:pt idx="84">
                  <c:v>37300</c:v>
                </c:pt>
                <c:pt idx="85">
                  <c:v>38300</c:v>
                </c:pt>
                <c:pt idx="86">
                  <c:v>39350</c:v>
                </c:pt>
                <c:pt idx="87">
                  <c:v>36800</c:v>
                </c:pt>
                <c:pt idx="88">
                  <c:v>36700</c:v>
                </c:pt>
                <c:pt idx="89">
                  <c:v>37300</c:v>
                </c:pt>
                <c:pt idx="90">
                  <c:v>36150</c:v>
                </c:pt>
                <c:pt idx="91">
                  <c:v>35700</c:v>
                </c:pt>
                <c:pt idx="92">
                  <c:v>36650</c:v>
                </c:pt>
                <c:pt idx="93">
                  <c:v>36650</c:v>
                </c:pt>
                <c:pt idx="94">
                  <c:v>36350</c:v>
                </c:pt>
                <c:pt idx="95">
                  <c:v>36100</c:v>
                </c:pt>
                <c:pt idx="96">
                  <c:v>36100</c:v>
                </c:pt>
                <c:pt idx="97">
                  <c:v>35300</c:v>
                </c:pt>
                <c:pt idx="98">
                  <c:v>36800</c:v>
                </c:pt>
                <c:pt idx="99">
                  <c:v>35800</c:v>
                </c:pt>
                <c:pt idx="100">
                  <c:v>37400</c:v>
                </c:pt>
                <c:pt idx="101">
                  <c:v>37100</c:v>
                </c:pt>
                <c:pt idx="102">
                  <c:v>37350</c:v>
                </c:pt>
                <c:pt idx="103">
                  <c:v>36650</c:v>
                </c:pt>
                <c:pt idx="104">
                  <c:v>37500</c:v>
                </c:pt>
                <c:pt idx="105">
                  <c:v>38150</c:v>
                </c:pt>
                <c:pt idx="106">
                  <c:v>40400</c:v>
                </c:pt>
                <c:pt idx="107">
                  <c:v>41850</c:v>
                </c:pt>
                <c:pt idx="108">
                  <c:v>41800</c:v>
                </c:pt>
                <c:pt idx="109">
                  <c:v>42200</c:v>
                </c:pt>
                <c:pt idx="110">
                  <c:v>40650</c:v>
                </c:pt>
                <c:pt idx="111">
                  <c:v>41450</c:v>
                </c:pt>
                <c:pt idx="112">
                  <c:v>41200</c:v>
                </c:pt>
                <c:pt idx="113">
                  <c:v>44000</c:v>
                </c:pt>
                <c:pt idx="114">
                  <c:v>44500</c:v>
                </c:pt>
                <c:pt idx="115">
                  <c:v>42600</c:v>
                </c:pt>
                <c:pt idx="116">
                  <c:v>42100</c:v>
                </c:pt>
                <c:pt idx="117">
                  <c:v>42600</c:v>
                </c:pt>
                <c:pt idx="118">
                  <c:v>41550</c:v>
                </c:pt>
                <c:pt idx="119">
                  <c:v>41000</c:v>
                </c:pt>
                <c:pt idx="120">
                  <c:v>40350</c:v>
                </c:pt>
                <c:pt idx="121">
                  <c:v>40750</c:v>
                </c:pt>
                <c:pt idx="122">
                  <c:v>40750</c:v>
                </c:pt>
                <c:pt idx="123">
                  <c:v>41900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2-4EB7-B40B-22E0C8A79A49}"/>
            </c:ext>
          </c:extLst>
        </c:ser>
        <c:ser>
          <c:idx val="1"/>
          <c:order val="1"/>
          <c:tx>
            <c:strRef>
              <c:f>주식시세예측!$H$6</c:f>
              <c:strCache>
                <c:ptCount val="1"/>
                <c:pt idx="0">
                  <c:v>고가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주식시세예측!$F$7:$F$130</c:f>
              <c:numCache>
                <c:formatCode>m/d/yyyy</c:formatCode>
                <c:ptCount val="124"/>
                <c:pt idx="0">
                  <c:v>44211</c:v>
                </c:pt>
                <c:pt idx="1">
                  <c:v>44214</c:v>
                </c:pt>
                <c:pt idx="2">
                  <c:v>44215</c:v>
                </c:pt>
                <c:pt idx="3">
                  <c:v>44216</c:v>
                </c:pt>
                <c:pt idx="4">
                  <c:v>44217</c:v>
                </c:pt>
                <c:pt idx="5">
                  <c:v>44218</c:v>
                </c:pt>
                <c:pt idx="6">
                  <c:v>44221</c:v>
                </c:pt>
                <c:pt idx="7">
                  <c:v>44222</c:v>
                </c:pt>
                <c:pt idx="8">
                  <c:v>44223</c:v>
                </c:pt>
                <c:pt idx="9">
                  <c:v>44224</c:v>
                </c:pt>
                <c:pt idx="10">
                  <c:v>44225</c:v>
                </c:pt>
                <c:pt idx="11">
                  <c:v>44228</c:v>
                </c:pt>
                <c:pt idx="12">
                  <c:v>44229</c:v>
                </c:pt>
                <c:pt idx="13">
                  <c:v>44230</c:v>
                </c:pt>
                <c:pt idx="14">
                  <c:v>44231</c:v>
                </c:pt>
                <c:pt idx="15">
                  <c:v>44232</c:v>
                </c:pt>
                <c:pt idx="16">
                  <c:v>44235</c:v>
                </c:pt>
                <c:pt idx="17">
                  <c:v>44236</c:v>
                </c:pt>
                <c:pt idx="18">
                  <c:v>44237</c:v>
                </c:pt>
                <c:pt idx="19">
                  <c:v>44242</c:v>
                </c:pt>
                <c:pt idx="20">
                  <c:v>44243</c:v>
                </c:pt>
                <c:pt idx="21">
                  <c:v>44244</c:v>
                </c:pt>
                <c:pt idx="22">
                  <c:v>44245</c:v>
                </c:pt>
                <c:pt idx="23">
                  <c:v>44246</c:v>
                </c:pt>
                <c:pt idx="24">
                  <c:v>44249</c:v>
                </c:pt>
                <c:pt idx="25">
                  <c:v>44250</c:v>
                </c:pt>
                <c:pt idx="26">
                  <c:v>44251</c:v>
                </c:pt>
                <c:pt idx="27">
                  <c:v>44252</c:v>
                </c:pt>
                <c:pt idx="28">
                  <c:v>44253</c:v>
                </c:pt>
                <c:pt idx="29">
                  <c:v>44257</c:v>
                </c:pt>
                <c:pt idx="30">
                  <c:v>44258</c:v>
                </c:pt>
                <c:pt idx="31">
                  <c:v>44259</c:v>
                </c:pt>
                <c:pt idx="32">
                  <c:v>44260</c:v>
                </c:pt>
                <c:pt idx="33">
                  <c:v>44263</c:v>
                </c:pt>
                <c:pt idx="34">
                  <c:v>44264</c:v>
                </c:pt>
                <c:pt idx="35">
                  <c:v>44265</c:v>
                </c:pt>
                <c:pt idx="36">
                  <c:v>44266</c:v>
                </c:pt>
                <c:pt idx="37">
                  <c:v>44267</c:v>
                </c:pt>
                <c:pt idx="38">
                  <c:v>44270</c:v>
                </c:pt>
                <c:pt idx="39">
                  <c:v>44271</c:v>
                </c:pt>
                <c:pt idx="40">
                  <c:v>44272</c:v>
                </c:pt>
                <c:pt idx="41">
                  <c:v>44273</c:v>
                </c:pt>
                <c:pt idx="42">
                  <c:v>44274</c:v>
                </c:pt>
                <c:pt idx="43">
                  <c:v>44277</c:v>
                </c:pt>
                <c:pt idx="44">
                  <c:v>44278</c:v>
                </c:pt>
                <c:pt idx="45">
                  <c:v>44279</c:v>
                </c:pt>
                <c:pt idx="46">
                  <c:v>44280</c:v>
                </c:pt>
                <c:pt idx="47">
                  <c:v>44281</c:v>
                </c:pt>
                <c:pt idx="48">
                  <c:v>44284</c:v>
                </c:pt>
                <c:pt idx="49">
                  <c:v>44285</c:v>
                </c:pt>
                <c:pt idx="50">
                  <c:v>44286</c:v>
                </c:pt>
                <c:pt idx="51">
                  <c:v>44287</c:v>
                </c:pt>
                <c:pt idx="52">
                  <c:v>44288</c:v>
                </c:pt>
                <c:pt idx="53">
                  <c:v>44291</c:v>
                </c:pt>
                <c:pt idx="54">
                  <c:v>44292</c:v>
                </c:pt>
                <c:pt idx="55">
                  <c:v>44293</c:v>
                </c:pt>
                <c:pt idx="56">
                  <c:v>44294</c:v>
                </c:pt>
                <c:pt idx="57">
                  <c:v>44295</c:v>
                </c:pt>
                <c:pt idx="58">
                  <c:v>44298</c:v>
                </c:pt>
                <c:pt idx="59">
                  <c:v>44299</c:v>
                </c:pt>
                <c:pt idx="60">
                  <c:v>44300</c:v>
                </c:pt>
                <c:pt idx="61">
                  <c:v>44301</c:v>
                </c:pt>
                <c:pt idx="62">
                  <c:v>44302</c:v>
                </c:pt>
                <c:pt idx="63">
                  <c:v>44305</c:v>
                </c:pt>
                <c:pt idx="64">
                  <c:v>44306</c:v>
                </c:pt>
                <c:pt idx="65">
                  <c:v>44307</c:v>
                </c:pt>
                <c:pt idx="66">
                  <c:v>44308</c:v>
                </c:pt>
                <c:pt idx="67">
                  <c:v>44309</c:v>
                </c:pt>
                <c:pt idx="68">
                  <c:v>44312</c:v>
                </c:pt>
                <c:pt idx="69">
                  <c:v>44313</c:v>
                </c:pt>
                <c:pt idx="70">
                  <c:v>44314</c:v>
                </c:pt>
                <c:pt idx="71">
                  <c:v>44315</c:v>
                </c:pt>
                <c:pt idx="72">
                  <c:v>44316</c:v>
                </c:pt>
                <c:pt idx="73">
                  <c:v>44319</c:v>
                </c:pt>
                <c:pt idx="74">
                  <c:v>44320</c:v>
                </c:pt>
                <c:pt idx="75">
                  <c:v>44322</c:v>
                </c:pt>
                <c:pt idx="76">
                  <c:v>44323</c:v>
                </c:pt>
                <c:pt idx="77">
                  <c:v>44326</c:v>
                </c:pt>
                <c:pt idx="78">
                  <c:v>44327</c:v>
                </c:pt>
                <c:pt idx="79">
                  <c:v>44328</c:v>
                </c:pt>
                <c:pt idx="80">
                  <c:v>44329</c:v>
                </c:pt>
                <c:pt idx="81">
                  <c:v>44330</c:v>
                </c:pt>
                <c:pt idx="82">
                  <c:v>44333</c:v>
                </c:pt>
                <c:pt idx="83">
                  <c:v>44334</c:v>
                </c:pt>
                <c:pt idx="84">
                  <c:v>44336</c:v>
                </c:pt>
                <c:pt idx="85">
                  <c:v>44337</c:v>
                </c:pt>
                <c:pt idx="86">
                  <c:v>44340</c:v>
                </c:pt>
                <c:pt idx="87">
                  <c:v>44341</c:v>
                </c:pt>
                <c:pt idx="88">
                  <c:v>44342</c:v>
                </c:pt>
                <c:pt idx="89">
                  <c:v>44343</c:v>
                </c:pt>
                <c:pt idx="90">
                  <c:v>44344</c:v>
                </c:pt>
                <c:pt idx="91">
                  <c:v>44347</c:v>
                </c:pt>
                <c:pt idx="92">
                  <c:v>44348</c:v>
                </c:pt>
                <c:pt idx="93">
                  <c:v>44349</c:v>
                </c:pt>
                <c:pt idx="94">
                  <c:v>44350</c:v>
                </c:pt>
                <c:pt idx="95">
                  <c:v>44351</c:v>
                </c:pt>
                <c:pt idx="96">
                  <c:v>44354</c:v>
                </c:pt>
                <c:pt idx="97">
                  <c:v>44355</c:v>
                </c:pt>
                <c:pt idx="98">
                  <c:v>44356</c:v>
                </c:pt>
                <c:pt idx="99">
                  <c:v>44357</c:v>
                </c:pt>
                <c:pt idx="100">
                  <c:v>44358</c:v>
                </c:pt>
                <c:pt idx="101">
                  <c:v>44361</c:v>
                </c:pt>
                <c:pt idx="102">
                  <c:v>44362</c:v>
                </c:pt>
                <c:pt idx="103">
                  <c:v>44363</c:v>
                </c:pt>
                <c:pt idx="104">
                  <c:v>44364</c:v>
                </c:pt>
                <c:pt idx="105">
                  <c:v>44365</c:v>
                </c:pt>
                <c:pt idx="106">
                  <c:v>44368</c:v>
                </c:pt>
                <c:pt idx="107">
                  <c:v>44369</c:v>
                </c:pt>
                <c:pt idx="108">
                  <c:v>44370</c:v>
                </c:pt>
                <c:pt idx="109">
                  <c:v>44371</c:v>
                </c:pt>
                <c:pt idx="110">
                  <c:v>44372</c:v>
                </c:pt>
                <c:pt idx="111">
                  <c:v>44375</c:v>
                </c:pt>
                <c:pt idx="112">
                  <c:v>44376</c:v>
                </c:pt>
                <c:pt idx="113">
                  <c:v>44377</c:v>
                </c:pt>
                <c:pt idx="114">
                  <c:v>44378</c:v>
                </c:pt>
                <c:pt idx="115">
                  <c:v>44379</c:v>
                </c:pt>
                <c:pt idx="116">
                  <c:v>44382</c:v>
                </c:pt>
                <c:pt idx="117">
                  <c:v>44383</c:v>
                </c:pt>
                <c:pt idx="118">
                  <c:v>44384</c:v>
                </c:pt>
                <c:pt idx="119">
                  <c:v>44385</c:v>
                </c:pt>
                <c:pt idx="120">
                  <c:v>44386</c:v>
                </c:pt>
                <c:pt idx="121">
                  <c:v>44389</c:v>
                </c:pt>
                <c:pt idx="122">
                  <c:v>44390</c:v>
                </c:pt>
                <c:pt idx="123">
                  <c:v>44391</c:v>
                </c:pt>
              </c:numCache>
            </c:numRef>
          </c:cat>
          <c:val>
            <c:numRef>
              <c:f>주식시세예측!$H$7:$H$130</c:f>
              <c:numCache>
                <c:formatCode>#,##0</c:formatCode>
                <c:ptCount val="124"/>
                <c:pt idx="0">
                  <c:v>35300</c:v>
                </c:pt>
                <c:pt idx="1">
                  <c:v>33850</c:v>
                </c:pt>
                <c:pt idx="2">
                  <c:v>33800</c:v>
                </c:pt>
                <c:pt idx="3">
                  <c:v>34300</c:v>
                </c:pt>
                <c:pt idx="4">
                  <c:v>34750</c:v>
                </c:pt>
                <c:pt idx="5">
                  <c:v>33750</c:v>
                </c:pt>
                <c:pt idx="6">
                  <c:v>34900</c:v>
                </c:pt>
                <c:pt idx="7">
                  <c:v>36500</c:v>
                </c:pt>
                <c:pt idx="8">
                  <c:v>34850</c:v>
                </c:pt>
                <c:pt idx="9">
                  <c:v>33600</c:v>
                </c:pt>
                <c:pt idx="10">
                  <c:v>33650</c:v>
                </c:pt>
                <c:pt idx="11">
                  <c:v>32850</c:v>
                </c:pt>
                <c:pt idx="12">
                  <c:v>33750</c:v>
                </c:pt>
                <c:pt idx="13">
                  <c:v>33250</c:v>
                </c:pt>
                <c:pt idx="14">
                  <c:v>32750</c:v>
                </c:pt>
                <c:pt idx="15">
                  <c:v>32400</c:v>
                </c:pt>
                <c:pt idx="16">
                  <c:v>32350</c:v>
                </c:pt>
                <c:pt idx="17">
                  <c:v>32050</c:v>
                </c:pt>
                <c:pt idx="18">
                  <c:v>31250</c:v>
                </c:pt>
                <c:pt idx="19">
                  <c:v>31500</c:v>
                </c:pt>
                <c:pt idx="20">
                  <c:v>31050</c:v>
                </c:pt>
                <c:pt idx="21">
                  <c:v>31750</c:v>
                </c:pt>
                <c:pt idx="22">
                  <c:v>32400</c:v>
                </c:pt>
                <c:pt idx="23">
                  <c:v>32650</c:v>
                </c:pt>
                <c:pt idx="24">
                  <c:v>32750</c:v>
                </c:pt>
                <c:pt idx="25">
                  <c:v>31900</c:v>
                </c:pt>
                <c:pt idx="26">
                  <c:v>31200</c:v>
                </c:pt>
                <c:pt idx="27">
                  <c:v>30450</c:v>
                </c:pt>
                <c:pt idx="28">
                  <c:v>29500</c:v>
                </c:pt>
                <c:pt idx="29">
                  <c:v>29900</c:v>
                </c:pt>
                <c:pt idx="30">
                  <c:v>29700</c:v>
                </c:pt>
                <c:pt idx="31">
                  <c:v>29650</c:v>
                </c:pt>
                <c:pt idx="32">
                  <c:v>28700</c:v>
                </c:pt>
                <c:pt idx="33">
                  <c:v>29500</c:v>
                </c:pt>
                <c:pt idx="34">
                  <c:v>28700</c:v>
                </c:pt>
                <c:pt idx="35">
                  <c:v>29050</c:v>
                </c:pt>
                <c:pt idx="36">
                  <c:v>29900</c:v>
                </c:pt>
                <c:pt idx="37">
                  <c:v>31000</c:v>
                </c:pt>
                <c:pt idx="38">
                  <c:v>31000</c:v>
                </c:pt>
                <c:pt idx="39">
                  <c:v>31050</c:v>
                </c:pt>
                <c:pt idx="40">
                  <c:v>32500</c:v>
                </c:pt>
                <c:pt idx="41">
                  <c:v>32950</c:v>
                </c:pt>
                <c:pt idx="42">
                  <c:v>34250</c:v>
                </c:pt>
                <c:pt idx="43">
                  <c:v>38300</c:v>
                </c:pt>
                <c:pt idx="44">
                  <c:v>37250</c:v>
                </c:pt>
                <c:pt idx="45">
                  <c:v>38750</c:v>
                </c:pt>
                <c:pt idx="46">
                  <c:v>39300</c:v>
                </c:pt>
                <c:pt idx="47">
                  <c:v>39450</c:v>
                </c:pt>
                <c:pt idx="48">
                  <c:v>40350</c:v>
                </c:pt>
                <c:pt idx="49">
                  <c:v>39250</c:v>
                </c:pt>
                <c:pt idx="50">
                  <c:v>39050</c:v>
                </c:pt>
                <c:pt idx="51">
                  <c:v>40100</c:v>
                </c:pt>
                <c:pt idx="52">
                  <c:v>39350</c:v>
                </c:pt>
                <c:pt idx="53">
                  <c:v>40000</c:v>
                </c:pt>
                <c:pt idx="54">
                  <c:v>42400</c:v>
                </c:pt>
                <c:pt idx="55">
                  <c:v>40300</c:v>
                </c:pt>
                <c:pt idx="56">
                  <c:v>40450</c:v>
                </c:pt>
                <c:pt idx="57">
                  <c:v>41050</c:v>
                </c:pt>
                <c:pt idx="58">
                  <c:v>39850</c:v>
                </c:pt>
                <c:pt idx="59">
                  <c:v>39350</c:v>
                </c:pt>
                <c:pt idx="60">
                  <c:v>39650</c:v>
                </c:pt>
                <c:pt idx="61">
                  <c:v>39550</c:v>
                </c:pt>
                <c:pt idx="62">
                  <c:v>39000</c:v>
                </c:pt>
                <c:pt idx="63">
                  <c:v>37950</c:v>
                </c:pt>
                <c:pt idx="64">
                  <c:v>38000</c:v>
                </c:pt>
                <c:pt idx="65">
                  <c:v>37600</c:v>
                </c:pt>
                <c:pt idx="66">
                  <c:v>37850</c:v>
                </c:pt>
                <c:pt idx="67">
                  <c:v>38050</c:v>
                </c:pt>
                <c:pt idx="68">
                  <c:v>38050</c:v>
                </c:pt>
                <c:pt idx="69">
                  <c:v>37200</c:v>
                </c:pt>
                <c:pt idx="70">
                  <c:v>36300</c:v>
                </c:pt>
                <c:pt idx="71">
                  <c:v>37200</c:v>
                </c:pt>
                <c:pt idx="72">
                  <c:v>35200</c:v>
                </c:pt>
                <c:pt idx="73">
                  <c:v>35100</c:v>
                </c:pt>
                <c:pt idx="74">
                  <c:v>34650</c:v>
                </c:pt>
                <c:pt idx="75">
                  <c:v>34700</c:v>
                </c:pt>
                <c:pt idx="76">
                  <c:v>35100</c:v>
                </c:pt>
                <c:pt idx="77">
                  <c:v>36200</c:v>
                </c:pt>
                <c:pt idx="78">
                  <c:v>35600</c:v>
                </c:pt>
                <c:pt idx="79">
                  <c:v>38200</c:v>
                </c:pt>
                <c:pt idx="80">
                  <c:v>39500</c:v>
                </c:pt>
                <c:pt idx="81">
                  <c:v>39500</c:v>
                </c:pt>
                <c:pt idx="82">
                  <c:v>38500</c:v>
                </c:pt>
                <c:pt idx="83">
                  <c:v>37800</c:v>
                </c:pt>
                <c:pt idx="84">
                  <c:v>38200</c:v>
                </c:pt>
                <c:pt idx="85">
                  <c:v>40150</c:v>
                </c:pt>
                <c:pt idx="86">
                  <c:v>39600</c:v>
                </c:pt>
                <c:pt idx="87">
                  <c:v>37200</c:v>
                </c:pt>
                <c:pt idx="88">
                  <c:v>37550</c:v>
                </c:pt>
                <c:pt idx="89">
                  <c:v>37500</c:v>
                </c:pt>
                <c:pt idx="90">
                  <c:v>36800</c:v>
                </c:pt>
                <c:pt idx="91">
                  <c:v>36200</c:v>
                </c:pt>
                <c:pt idx="92">
                  <c:v>37200</c:v>
                </c:pt>
                <c:pt idx="93">
                  <c:v>37250</c:v>
                </c:pt>
                <c:pt idx="94">
                  <c:v>36700</c:v>
                </c:pt>
                <c:pt idx="95">
                  <c:v>36200</c:v>
                </c:pt>
                <c:pt idx="96">
                  <c:v>36150</c:v>
                </c:pt>
                <c:pt idx="97">
                  <c:v>36700</c:v>
                </c:pt>
                <c:pt idx="98">
                  <c:v>36800</c:v>
                </c:pt>
                <c:pt idx="99">
                  <c:v>38000</c:v>
                </c:pt>
                <c:pt idx="100">
                  <c:v>37600</c:v>
                </c:pt>
                <c:pt idx="101">
                  <c:v>37850</c:v>
                </c:pt>
                <c:pt idx="102">
                  <c:v>37350</c:v>
                </c:pt>
                <c:pt idx="103">
                  <c:v>37850</c:v>
                </c:pt>
                <c:pt idx="104">
                  <c:v>38200</c:v>
                </c:pt>
                <c:pt idx="105">
                  <c:v>40700</c:v>
                </c:pt>
                <c:pt idx="106">
                  <c:v>42400</c:v>
                </c:pt>
                <c:pt idx="107">
                  <c:v>42450</c:v>
                </c:pt>
                <c:pt idx="108">
                  <c:v>42650</c:v>
                </c:pt>
                <c:pt idx="109">
                  <c:v>42250</c:v>
                </c:pt>
                <c:pt idx="110">
                  <c:v>41800</c:v>
                </c:pt>
                <c:pt idx="111">
                  <c:v>41600</c:v>
                </c:pt>
                <c:pt idx="112">
                  <c:v>44300</c:v>
                </c:pt>
                <c:pt idx="113">
                  <c:v>44700</c:v>
                </c:pt>
                <c:pt idx="114">
                  <c:v>44550</c:v>
                </c:pt>
                <c:pt idx="115">
                  <c:v>43000</c:v>
                </c:pt>
                <c:pt idx="116">
                  <c:v>43550</c:v>
                </c:pt>
                <c:pt idx="117">
                  <c:v>42850</c:v>
                </c:pt>
                <c:pt idx="118">
                  <c:v>42100</c:v>
                </c:pt>
                <c:pt idx="119">
                  <c:v>41550</c:v>
                </c:pt>
                <c:pt idx="120">
                  <c:v>40800</c:v>
                </c:pt>
                <c:pt idx="121">
                  <c:v>41150</c:v>
                </c:pt>
                <c:pt idx="122">
                  <c:v>42350</c:v>
                </c:pt>
                <c:pt idx="123">
                  <c:v>45850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52-4EB7-B40B-22E0C8A79A49}"/>
            </c:ext>
          </c:extLst>
        </c:ser>
        <c:ser>
          <c:idx val="2"/>
          <c:order val="2"/>
          <c:tx>
            <c:strRef>
              <c:f>주식시세예측!$I$6</c:f>
              <c:strCache>
                <c:ptCount val="1"/>
                <c:pt idx="0">
                  <c:v>저가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주식시세예측!$F$7:$F$130</c:f>
              <c:numCache>
                <c:formatCode>m/d/yyyy</c:formatCode>
                <c:ptCount val="124"/>
                <c:pt idx="0">
                  <c:v>44211</c:v>
                </c:pt>
                <c:pt idx="1">
                  <c:v>44214</c:v>
                </c:pt>
                <c:pt idx="2">
                  <c:v>44215</c:v>
                </c:pt>
                <c:pt idx="3">
                  <c:v>44216</c:v>
                </c:pt>
                <c:pt idx="4">
                  <c:v>44217</c:v>
                </c:pt>
                <c:pt idx="5">
                  <c:v>44218</c:v>
                </c:pt>
                <c:pt idx="6">
                  <c:v>44221</c:v>
                </c:pt>
                <c:pt idx="7">
                  <c:v>44222</c:v>
                </c:pt>
                <c:pt idx="8">
                  <c:v>44223</c:v>
                </c:pt>
                <c:pt idx="9">
                  <c:v>44224</c:v>
                </c:pt>
                <c:pt idx="10">
                  <c:v>44225</c:v>
                </c:pt>
                <c:pt idx="11">
                  <c:v>44228</c:v>
                </c:pt>
                <c:pt idx="12">
                  <c:v>44229</c:v>
                </c:pt>
                <c:pt idx="13">
                  <c:v>44230</c:v>
                </c:pt>
                <c:pt idx="14">
                  <c:v>44231</c:v>
                </c:pt>
                <c:pt idx="15">
                  <c:v>44232</c:v>
                </c:pt>
                <c:pt idx="16">
                  <c:v>44235</c:v>
                </c:pt>
                <c:pt idx="17">
                  <c:v>44236</c:v>
                </c:pt>
                <c:pt idx="18">
                  <c:v>44237</c:v>
                </c:pt>
                <c:pt idx="19">
                  <c:v>44242</c:v>
                </c:pt>
                <c:pt idx="20">
                  <c:v>44243</c:v>
                </c:pt>
                <c:pt idx="21">
                  <c:v>44244</c:v>
                </c:pt>
                <c:pt idx="22">
                  <c:v>44245</c:v>
                </c:pt>
                <c:pt idx="23">
                  <c:v>44246</c:v>
                </c:pt>
                <c:pt idx="24">
                  <c:v>44249</c:v>
                </c:pt>
                <c:pt idx="25">
                  <c:v>44250</c:v>
                </c:pt>
                <c:pt idx="26">
                  <c:v>44251</c:v>
                </c:pt>
                <c:pt idx="27">
                  <c:v>44252</c:v>
                </c:pt>
                <c:pt idx="28">
                  <c:v>44253</c:v>
                </c:pt>
                <c:pt idx="29">
                  <c:v>44257</c:v>
                </c:pt>
                <c:pt idx="30">
                  <c:v>44258</c:v>
                </c:pt>
                <c:pt idx="31">
                  <c:v>44259</c:v>
                </c:pt>
                <c:pt idx="32">
                  <c:v>44260</c:v>
                </c:pt>
                <c:pt idx="33">
                  <c:v>44263</c:v>
                </c:pt>
                <c:pt idx="34">
                  <c:v>44264</c:v>
                </c:pt>
                <c:pt idx="35">
                  <c:v>44265</c:v>
                </c:pt>
                <c:pt idx="36">
                  <c:v>44266</c:v>
                </c:pt>
                <c:pt idx="37">
                  <c:v>44267</c:v>
                </c:pt>
                <c:pt idx="38">
                  <c:v>44270</c:v>
                </c:pt>
                <c:pt idx="39">
                  <c:v>44271</c:v>
                </c:pt>
                <c:pt idx="40">
                  <c:v>44272</c:v>
                </c:pt>
                <c:pt idx="41">
                  <c:v>44273</c:v>
                </c:pt>
                <c:pt idx="42">
                  <c:v>44274</c:v>
                </c:pt>
                <c:pt idx="43">
                  <c:v>44277</c:v>
                </c:pt>
                <c:pt idx="44">
                  <c:v>44278</c:v>
                </c:pt>
                <c:pt idx="45">
                  <c:v>44279</c:v>
                </c:pt>
                <c:pt idx="46">
                  <c:v>44280</c:v>
                </c:pt>
                <c:pt idx="47">
                  <c:v>44281</c:v>
                </c:pt>
                <c:pt idx="48">
                  <c:v>44284</c:v>
                </c:pt>
                <c:pt idx="49">
                  <c:v>44285</c:v>
                </c:pt>
                <c:pt idx="50">
                  <c:v>44286</c:v>
                </c:pt>
                <c:pt idx="51">
                  <c:v>44287</c:v>
                </c:pt>
                <c:pt idx="52">
                  <c:v>44288</c:v>
                </c:pt>
                <c:pt idx="53">
                  <c:v>44291</c:v>
                </c:pt>
                <c:pt idx="54">
                  <c:v>44292</c:v>
                </c:pt>
                <c:pt idx="55">
                  <c:v>44293</c:v>
                </c:pt>
                <c:pt idx="56">
                  <c:v>44294</c:v>
                </c:pt>
                <c:pt idx="57">
                  <c:v>44295</c:v>
                </c:pt>
                <c:pt idx="58">
                  <c:v>44298</c:v>
                </c:pt>
                <c:pt idx="59">
                  <c:v>44299</c:v>
                </c:pt>
                <c:pt idx="60">
                  <c:v>44300</c:v>
                </c:pt>
                <c:pt idx="61">
                  <c:v>44301</c:v>
                </c:pt>
                <c:pt idx="62">
                  <c:v>44302</c:v>
                </c:pt>
                <c:pt idx="63">
                  <c:v>44305</c:v>
                </c:pt>
                <c:pt idx="64">
                  <c:v>44306</c:v>
                </c:pt>
                <c:pt idx="65">
                  <c:v>44307</c:v>
                </c:pt>
                <c:pt idx="66">
                  <c:v>44308</c:v>
                </c:pt>
                <c:pt idx="67">
                  <c:v>44309</c:v>
                </c:pt>
                <c:pt idx="68">
                  <c:v>44312</c:v>
                </c:pt>
                <c:pt idx="69">
                  <c:v>44313</c:v>
                </c:pt>
                <c:pt idx="70">
                  <c:v>44314</c:v>
                </c:pt>
                <c:pt idx="71">
                  <c:v>44315</c:v>
                </c:pt>
                <c:pt idx="72">
                  <c:v>44316</c:v>
                </c:pt>
                <c:pt idx="73">
                  <c:v>44319</c:v>
                </c:pt>
                <c:pt idx="74">
                  <c:v>44320</c:v>
                </c:pt>
                <c:pt idx="75">
                  <c:v>44322</c:v>
                </c:pt>
                <c:pt idx="76">
                  <c:v>44323</c:v>
                </c:pt>
                <c:pt idx="77">
                  <c:v>44326</c:v>
                </c:pt>
                <c:pt idx="78">
                  <c:v>44327</c:v>
                </c:pt>
                <c:pt idx="79">
                  <c:v>44328</c:v>
                </c:pt>
                <c:pt idx="80">
                  <c:v>44329</c:v>
                </c:pt>
                <c:pt idx="81">
                  <c:v>44330</c:v>
                </c:pt>
                <c:pt idx="82">
                  <c:v>44333</c:v>
                </c:pt>
                <c:pt idx="83">
                  <c:v>44334</c:v>
                </c:pt>
                <c:pt idx="84">
                  <c:v>44336</c:v>
                </c:pt>
                <c:pt idx="85">
                  <c:v>44337</c:v>
                </c:pt>
                <c:pt idx="86">
                  <c:v>44340</c:v>
                </c:pt>
                <c:pt idx="87">
                  <c:v>44341</c:v>
                </c:pt>
                <c:pt idx="88">
                  <c:v>44342</c:v>
                </c:pt>
                <c:pt idx="89">
                  <c:v>44343</c:v>
                </c:pt>
                <c:pt idx="90">
                  <c:v>44344</c:v>
                </c:pt>
                <c:pt idx="91">
                  <c:v>44347</c:v>
                </c:pt>
                <c:pt idx="92">
                  <c:v>44348</c:v>
                </c:pt>
                <c:pt idx="93">
                  <c:v>44349</c:v>
                </c:pt>
                <c:pt idx="94">
                  <c:v>44350</c:v>
                </c:pt>
                <c:pt idx="95">
                  <c:v>44351</c:v>
                </c:pt>
                <c:pt idx="96">
                  <c:v>44354</c:v>
                </c:pt>
                <c:pt idx="97">
                  <c:v>44355</c:v>
                </c:pt>
                <c:pt idx="98">
                  <c:v>44356</c:v>
                </c:pt>
                <c:pt idx="99">
                  <c:v>44357</c:v>
                </c:pt>
                <c:pt idx="100">
                  <c:v>44358</c:v>
                </c:pt>
                <c:pt idx="101">
                  <c:v>44361</c:v>
                </c:pt>
                <c:pt idx="102">
                  <c:v>44362</c:v>
                </c:pt>
                <c:pt idx="103">
                  <c:v>44363</c:v>
                </c:pt>
                <c:pt idx="104">
                  <c:v>44364</c:v>
                </c:pt>
                <c:pt idx="105">
                  <c:v>44365</c:v>
                </c:pt>
                <c:pt idx="106">
                  <c:v>44368</c:v>
                </c:pt>
                <c:pt idx="107">
                  <c:v>44369</c:v>
                </c:pt>
                <c:pt idx="108">
                  <c:v>44370</c:v>
                </c:pt>
                <c:pt idx="109">
                  <c:v>44371</c:v>
                </c:pt>
                <c:pt idx="110">
                  <c:v>44372</c:v>
                </c:pt>
                <c:pt idx="111">
                  <c:v>44375</c:v>
                </c:pt>
                <c:pt idx="112">
                  <c:v>44376</c:v>
                </c:pt>
                <c:pt idx="113">
                  <c:v>44377</c:v>
                </c:pt>
                <c:pt idx="114">
                  <c:v>44378</c:v>
                </c:pt>
                <c:pt idx="115">
                  <c:v>44379</c:v>
                </c:pt>
                <c:pt idx="116">
                  <c:v>44382</c:v>
                </c:pt>
                <c:pt idx="117">
                  <c:v>44383</c:v>
                </c:pt>
                <c:pt idx="118">
                  <c:v>44384</c:v>
                </c:pt>
                <c:pt idx="119">
                  <c:v>44385</c:v>
                </c:pt>
                <c:pt idx="120">
                  <c:v>44386</c:v>
                </c:pt>
                <c:pt idx="121">
                  <c:v>44389</c:v>
                </c:pt>
                <c:pt idx="122">
                  <c:v>44390</c:v>
                </c:pt>
                <c:pt idx="123">
                  <c:v>44391</c:v>
                </c:pt>
              </c:numCache>
            </c:numRef>
          </c:cat>
          <c:val>
            <c:numRef>
              <c:f>주식시세예측!$I$7:$I$130</c:f>
              <c:numCache>
                <c:formatCode>#,##0</c:formatCode>
                <c:ptCount val="124"/>
                <c:pt idx="0">
                  <c:v>33950</c:v>
                </c:pt>
                <c:pt idx="1">
                  <c:v>32600</c:v>
                </c:pt>
                <c:pt idx="2">
                  <c:v>32400</c:v>
                </c:pt>
                <c:pt idx="3">
                  <c:v>33100</c:v>
                </c:pt>
                <c:pt idx="4">
                  <c:v>33800</c:v>
                </c:pt>
                <c:pt idx="5">
                  <c:v>32900</c:v>
                </c:pt>
                <c:pt idx="6">
                  <c:v>32850</c:v>
                </c:pt>
                <c:pt idx="7">
                  <c:v>33500</c:v>
                </c:pt>
                <c:pt idx="8">
                  <c:v>33200</c:v>
                </c:pt>
                <c:pt idx="9">
                  <c:v>32350</c:v>
                </c:pt>
                <c:pt idx="10">
                  <c:v>31750</c:v>
                </c:pt>
                <c:pt idx="11">
                  <c:v>31100</c:v>
                </c:pt>
                <c:pt idx="12">
                  <c:v>32400</c:v>
                </c:pt>
                <c:pt idx="13">
                  <c:v>32200</c:v>
                </c:pt>
                <c:pt idx="14">
                  <c:v>32000</c:v>
                </c:pt>
                <c:pt idx="15">
                  <c:v>31950</c:v>
                </c:pt>
                <c:pt idx="16">
                  <c:v>31700</c:v>
                </c:pt>
                <c:pt idx="17">
                  <c:v>31100</c:v>
                </c:pt>
                <c:pt idx="18">
                  <c:v>30800</c:v>
                </c:pt>
                <c:pt idx="19">
                  <c:v>31000</c:v>
                </c:pt>
                <c:pt idx="20">
                  <c:v>30000</c:v>
                </c:pt>
                <c:pt idx="21">
                  <c:v>29000</c:v>
                </c:pt>
                <c:pt idx="22">
                  <c:v>30700</c:v>
                </c:pt>
                <c:pt idx="23">
                  <c:v>31600</c:v>
                </c:pt>
                <c:pt idx="24">
                  <c:v>31400</c:v>
                </c:pt>
                <c:pt idx="25">
                  <c:v>30650</c:v>
                </c:pt>
                <c:pt idx="26">
                  <c:v>29550</c:v>
                </c:pt>
                <c:pt idx="27">
                  <c:v>29650</c:v>
                </c:pt>
                <c:pt idx="28">
                  <c:v>28150</c:v>
                </c:pt>
                <c:pt idx="29">
                  <c:v>28650</c:v>
                </c:pt>
                <c:pt idx="30">
                  <c:v>28750</c:v>
                </c:pt>
                <c:pt idx="31">
                  <c:v>28050</c:v>
                </c:pt>
                <c:pt idx="32">
                  <c:v>27500</c:v>
                </c:pt>
                <c:pt idx="33">
                  <c:v>28100</c:v>
                </c:pt>
                <c:pt idx="34">
                  <c:v>27900</c:v>
                </c:pt>
                <c:pt idx="35">
                  <c:v>28150</c:v>
                </c:pt>
                <c:pt idx="36">
                  <c:v>28350</c:v>
                </c:pt>
                <c:pt idx="37">
                  <c:v>29600</c:v>
                </c:pt>
                <c:pt idx="38">
                  <c:v>30050</c:v>
                </c:pt>
                <c:pt idx="39">
                  <c:v>30100</c:v>
                </c:pt>
                <c:pt idx="40">
                  <c:v>30650</c:v>
                </c:pt>
                <c:pt idx="41">
                  <c:v>32300</c:v>
                </c:pt>
                <c:pt idx="42">
                  <c:v>31600</c:v>
                </c:pt>
                <c:pt idx="43">
                  <c:v>34650</c:v>
                </c:pt>
                <c:pt idx="44">
                  <c:v>35300</c:v>
                </c:pt>
                <c:pt idx="45">
                  <c:v>34950</c:v>
                </c:pt>
                <c:pt idx="46">
                  <c:v>37550</c:v>
                </c:pt>
                <c:pt idx="47">
                  <c:v>37600</c:v>
                </c:pt>
                <c:pt idx="48">
                  <c:v>38300</c:v>
                </c:pt>
                <c:pt idx="49">
                  <c:v>36500</c:v>
                </c:pt>
                <c:pt idx="50">
                  <c:v>37900</c:v>
                </c:pt>
                <c:pt idx="51">
                  <c:v>37800</c:v>
                </c:pt>
                <c:pt idx="52">
                  <c:v>38100</c:v>
                </c:pt>
                <c:pt idx="53">
                  <c:v>38550</c:v>
                </c:pt>
                <c:pt idx="54">
                  <c:v>40400</c:v>
                </c:pt>
                <c:pt idx="55">
                  <c:v>37600</c:v>
                </c:pt>
                <c:pt idx="56">
                  <c:v>37100</c:v>
                </c:pt>
                <c:pt idx="57">
                  <c:v>39150</c:v>
                </c:pt>
                <c:pt idx="58">
                  <c:v>38550</c:v>
                </c:pt>
                <c:pt idx="59">
                  <c:v>38400</c:v>
                </c:pt>
                <c:pt idx="60">
                  <c:v>38350</c:v>
                </c:pt>
                <c:pt idx="61">
                  <c:v>38300</c:v>
                </c:pt>
                <c:pt idx="62">
                  <c:v>37900</c:v>
                </c:pt>
                <c:pt idx="63">
                  <c:v>36600</c:v>
                </c:pt>
                <c:pt idx="64">
                  <c:v>36650</c:v>
                </c:pt>
                <c:pt idx="65">
                  <c:v>36450</c:v>
                </c:pt>
                <c:pt idx="66">
                  <c:v>36700</c:v>
                </c:pt>
                <c:pt idx="67">
                  <c:v>37050</c:v>
                </c:pt>
                <c:pt idx="68">
                  <c:v>37150</c:v>
                </c:pt>
                <c:pt idx="69">
                  <c:v>35750</c:v>
                </c:pt>
                <c:pt idx="70">
                  <c:v>34800</c:v>
                </c:pt>
                <c:pt idx="71">
                  <c:v>34500</c:v>
                </c:pt>
                <c:pt idx="72">
                  <c:v>33800</c:v>
                </c:pt>
                <c:pt idx="73">
                  <c:v>33750</c:v>
                </c:pt>
                <c:pt idx="74">
                  <c:v>33300</c:v>
                </c:pt>
                <c:pt idx="75">
                  <c:v>33650</c:v>
                </c:pt>
                <c:pt idx="76">
                  <c:v>34000</c:v>
                </c:pt>
                <c:pt idx="77">
                  <c:v>34100</c:v>
                </c:pt>
                <c:pt idx="78">
                  <c:v>34700</c:v>
                </c:pt>
                <c:pt idx="79">
                  <c:v>35450</c:v>
                </c:pt>
                <c:pt idx="80">
                  <c:v>36450</c:v>
                </c:pt>
                <c:pt idx="81">
                  <c:v>37300</c:v>
                </c:pt>
                <c:pt idx="82">
                  <c:v>36400</c:v>
                </c:pt>
                <c:pt idx="83">
                  <c:v>36650</c:v>
                </c:pt>
                <c:pt idx="84">
                  <c:v>36650</c:v>
                </c:pt>
                <c:pt idx="85">
                  <c:v>37800</c:v>
                </c:pt>
                <c:pt idx="86">
                  <c:v>36500</c:v>
                </c:pt>
                <c:pt idx="87">
                  <c:v>36550</c:v>
                </c:pt>
                <c:pt idx="88">
                  <c:v>36600</c:v>
                </c:pt>
                <c:pt idx="89">
                  <c:v>36250</c:v>
                </c:pt>
                <c:pt idx="90">
                  <c:v>35700</c:v>
                </c:pt>
                <c:pt idx="91">
                  <c:v>35250</c:v>
                </c:pt>
                <c:pt idx="92">
                  <c:v>36100</c:v>
                </c:pt>
                <c:pt idx="93">
                  <c:v>36300</c:v>
                </c:pt>
                <c:pt idx="94">
                  <c:v>36050</c:v>
                </c:pt>
                <c:pt idx="95">
                  <c:v>35700</c:v>
                </c:pt>
                <c:pt idx="96">
                  <c:v>35300</c:v>
                </c:pt>
                <c:pt idx="97">
                  <c:v>35300</c:v>
                </c:pt>
                <c:pt idx="98">
                  <c:v>35600</c:v>
                </c:pt>
                <c:pt idx="99">
                  <c:v>35750</c:v>
                </c:pt>
                <c:pt idx="100">
                  <c:v>36650</c:v>
                </c:pt>
                <c:pt idx="101">
                  <c:v>36800</c:v>
                </c:pt>
                <c:pt idx="102">
                  <c:v>36500</c:v>
                </c:pt>
                <c:pt idx="103">
                  <c:v>36450</c:v>
                </c:pt>
                <c:pt idx="104">
                  <c:v>37000</c:v>
                </c:pt>
                <c:pt idx="105">
                  <c:v>38100</c:v>
                </c:pt>
                <c:pt idx="106">
                  <c:v>40200</c:v>
                </c:pt>
                <c:pt idx="107">
                  <c:v>40900</c:v>
                </c:pt>
                <c:pt idx="108">
                  <c:v>41300</c:v>
                </c:pt>
                <c:pt idx="109">
                  <c:v>39100</c:v>
                </c:pt>
                <c:pt idx="110">
                  <c:v>40050</c:v>
                </c:pt>
                <c:pt idx="111">
                  <c:v>40200</c:v>
                </c:pt>
                <c:pt idx="112">
                  <c:v>41150</c:v>
                </c:pt>
                <c:pt idx="113">
                  <c:v>43300</c:v>
                </c:pt>
                <c:pt idx="114">
                  <c:v>42600</c:v>
                </c:pt>
                <c:pt idx="115">
                  <c:v>41200</c:v>
                </c:pt>
                <c:pt idx="116">
                  <c:v>42100</c:v>
                </c:pt>
                <c:pt idx="117">
                  <c:v>41450</c:v>
                </c:pt>
                <c:pt idx="118">
                  <c:v>41000</c:v>
                </c:pt>
                <c:pt idx="119">
                  <c:v>40150</c:v>
                </c:pt>
                <c:pt idx="120">
                  <c:v>39400</c:v>
                </c:pt>
                <c:pt idx="121">
                  <c:v>40300</c:v>
                </c:pt>
                <c:pt idx="122">
                  <c:v>40750</c:v>
                </c:pt>
                <c:pt idx="123">
                  <c:v>41900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52-4EB7-B40B-22E0C8A79A49}"/>
            </c:ext>
          </c:extLst>
        </c:ser>
        <c:ser>
          <c:idx val="3"/>
          <c:order val="3"/>
          <c:tx>
            <c:strRef>
              <c:f>주식시세예측!$J$6</c:f>
              <c:strCache>
                <c:ptCount val="1"/>
                <c:pt idx="0">
                  <c:v>종가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주식시세예측!$F$7:$F$130</c:f>
              <c:numCache>
                <c:formatCode>m/d/yyyy</c:formatCode>
                <c:ptCount val="124"/>
                <c:pt idx="0">
                  <c:v>44211</c:v>
                </c:pt>
                <c:pt idx="1">
                  <c:v>44214</c:v>
                </c:pt>
                <c:pt idx="2">
                  <c:v>44215</c:v>
                </c:pt>
                <c:pt idx="3">
                  <c:v>44216</c:v>
                </c:pt>
                <c:pt idx="4">
                  <c:v>44217</c:v>
                </c:pt>
                <c:pt idx="5">
                  <c:v>44218</c:v>
                </c:pt>
                <c:pt idx="6">
                  <c:v>44221</c:v>
                </c:pt>
                <c:pt idx="7">
                  <c:v>44222</c:v>
                </c:pt>
                <c:pt idx="8">
                  <c:v>44223</c:v>
                </c:pt>
                <c:pt idx="9">
                  <c:v>44224</c:v>
                </c:pt>
                <c:pt idx="10">
                  <c:v>44225</c:v>
                </c:pt>
                <c:pt idx="11">
                  <c:v>44228</c:v>
                </c:pt>
                <c:pt idx="12">
                  <c:v>44229</c:v>
                </c:pt>
                <c:pt idx="13">
                  <c:v>44230</c:v>
                </c:pt>
                <c:pt idx="14">
                  <c:v>44231</c:v>
                </c:pt>
                <c:pt idx="15">
                  <c:v>44232</c:v>
                </c:pt>
                <c:pt idx="16">
                  <c:v>44235</c:v>
                </c:pt>
                <c:pt idx="17">
                  <c:v>44236</c:v>
                </c:pt>
                <c:pt idx="18">
                  <c:v>44237</c:v>
                </c:pt>
                <c:pt idx="19">
                  <c:v>44242</c:v>
                </c:pt>
                <c:pt idx="20">
                  <c:v>44243</c:v>
                </c:pt>
                <c:pt idx="21">
                  <c:v>44244</c:v>
                </c:pt>
                <c:pt idx="22">
                  <c:v>44245</c:v>
                </c:pt>
                <c:pt idx="23">
                  <c:v>44246</c:v>
                </c:pt>
                <c:pt idx="24">
                  <c:v>44249</c:v>
                </c:pt>
                <c:pt idx="25">
                  <c:v>44250</c:v>
                </c:pt>
                <c:pt idx="26">
                  <c:v>44251</c:v>
                </c:pt>
                <c:pt idx="27">
                  <c:v>44252</c:v>
                </c:pt>
                <c:pt idx="28">
                  <c:v>44253</c:v>
                </c:pt>
                <c:pt idx="29">
                  <c:v>44257</c:v>
                </c:pt>
                <c:pt idx="30">
                  <c:v>44258</c:v>
                </c:pt>
                <c:pt idx="31">
                  <c:v>44259</c:v>
                </c:pt>
                <c:pt idx="32">
                  <c:v>44260</c:v>
                </c:pt>
                <c:pt idx="33">
                  <c:v>44263</c:v>
                </c:pt>
                <c:pt idx="34">
                  <c:v>44264</c:v>
                </c:pt>
                <c:pt idx="35">
                  <c:v>44265</c:v>
                </c:pt>
                <c:pt idx="36">
                  <c:v>44266</c:v>
                </c:pt>
                <c:pt idx="37">
                  <c:v>44267</c:v>
                </c:pt>
                <c:pt idx="38">
                  <c:v>44270</c:v>
                </c:pt>
                <c:pt idx="39">
                  <c:v>44271</c:v>
                </c:pt>
                <c:pt idx="40">
                  <c:v>44272</c:v>
                </c:pt>
                <c:pt idx="41">
                  <c:v>44273</c:v>
                </c:pt>
                <c:pt idx="42">
                  <c:v>44274</c:v>
                </c:pt>
                <c:pt idx="43">
                  <c:v>44277</c:v>
                </c:pt>
                <c:pt idx="44">
                  <c:v>44278</c:v>
                </c:pt>
                <c:pt idx="45">
                  <c:v>44279</c:v>
                </c:pt>
                <c:pt idx="46">
                  <c:v>44280</c:v>
                </c:pt>
                <c:pt idx="47">
                  <c:v>44281</c:v>
                </c:pt>
                <c:pt idx="48">
                  <c:v>44284</c:v>
                </c:pt>
                <c:pt idx="49">
                  <c:v>44285</c:v>
                </c:pt>
                <c:pt idx="50">
                  <c:v>44286</c:v>
                </c:pt>
                <c:pt idx="51">
                  <c:v>44287</c:v>
                </c:pt>
                <c:pt idx="52">
                  <c:v>44288</c:v>
                </c:pt>
                <c:pt idx="53">
                  <c:v>44291</c:v>
                </c:pt>
                <c:pt idx="54">
                  <c:v>44292</c:v>
                </c:pt>
                <c:pt idx="55">
                  <c:v>44293</c:v>
                </c:pt>
                <c:pt idx="56">
                  <c:v>44294</c:v>
                </c:pt>
                <c:pt idx="57">
                  <c:v>44295</c:v>
                </c:pt>
                <c:pt idx="58">
                  <c:v>44298</c:v>
                </c:pt>
                <c:pt idx="59">
                  <c:v>44299</c:v>
                </c:pt>
                <c:pt idx="60">
                  <c:v>44300</c:v>
                </c:pt>
                <c:pt idx="61">
                  <c:v>44301</c:v>
                </c:pt>
                <c:pt idx="62">
                  <c:v>44302</c:v>
                </c:pt>
                <c:pt idx="63">
                  <c:v>44305</c:v>
                </c:pt>
                <c:pt idx="64">
                  <c:v>44306</c:v>
                </c:pt>
                <c:pt idx="65">
                  <c:v>44307</c:v>
                </c:pt>
                <c:pt idx="66">
                  <c:v>44308</c:v>
                </c:pt>
                <c:pt idx="67">
                  <c:v>44309</c:v>
                </c:pt>
                <c:pt idx="68">
                  <c:v>44312</c:v>
                </c:pt>
                <c:pt idx="69">
                  <c:v>44313</c:v>
                </c:pt>
                <c:pt idx="70">
                  <c:v>44314</c:v>
                </c:pt>
                <c:pt idx="71">
                  <c:v>44315</c:v>
                </c:pt>
                <c:pt idx="72">
                  <c:v>44316</c:v>
                </c:pt>
                <c:pt idx="73">
                  <c:v>44319</c:v>
                </c:pt>
                <c:pt idx="74">
                  <c:v>44320</c:v>
                </c:pt>
                <c:pt idx="75">
                  <c:v>44322</c:v>
                </c:pt>
                <c:pt idx="76">
                  <c:v>44323</c:v>
                </c:pt>
                <c:pt idx="77">
                  <c:v>44326</c:v>
                </c:pt>
                <c:pt idx="78">
                  <c:v>44327</c:v>
                </c:pt>
                <c:pt idx="79">
                  <c:v>44328</c:v>
                </c:pt>
                <c:pt idx="80">
                  <c:v>44329</c:v>
                </c:pt>
                <c:pt idx="81">
                  <c:v>44330</c:v>
                </c:pt>
                <c:pt idx="82">
                  <c:v>44333</c:v>
                </c:pt>
                <c:pt idx="83">
                  <c:v>44334</c:v>
                </c:pt>
                <c:pt idx="84">
                  <c:v>44336</c:v>
                </c:pt>
                <c:pt idx="85">
                  <c:v>44337</c:v>
                </c:pt>
                <c:pt idx="86">
                  <c:v>44340</c:v>
                </c:pt>
                <c:pt idx="87">
                  <c:v>44341</c:v>
                </c:pt>
                <c:pt idx="88">
                  <c:v>44342</c:v>
                </c:pt>
                <c:pt idx="89">
                  <c:v>44343</c:v>
                </c:pt>
                <c:pt idx="90">
                  <c:v>44344</c:v>
                </c:pt>
                <c:pt idx="91">
                  <c:v>44347</c:v>
                </c:pt>
                <c:pt idx="92">
                  <c:v>44348</c:v>
                </c:pt>
                <c:pt idx="93">
                  <c:v>44349</c:v>
                </c:pt>
                <c:pt idx="94">
                  <c:v>44350</c:v>
                </c:pt>
                <c:pt idx="95">
                  <c:v>44351</c:v>
                </c:pt>
                <c:pt idx="96">
                  <c:v>44354</c:v>
                </c:pt>
                <c:pt idx="97">
                  <c:v>44355</c:v>
                </c:pt>
                <c:pt idx="98">
                  <c:v>44356</c:v>
                </c:pt>
                <c:pt idx="99">
                  <c:v>44357</c:v>
                </c:pt>
                <c:pt idx="100">
                  <c:v>44358</c:v>
                </c:pt>
                <c:pt idx="101">
                  <c:v>44361</c:v>
                </c:pt>
                <c:pt idx="102">
                  <c:v>44362</c:v>
                </c:pt>
                <c:pt idx="103">
                  <c:v>44363</c:v>
                </c:pt>
                <c:pt idx="104">
                  <c:v>44364</c:v>
                </c:pt>
                <c:pt idx="105">
                  <c:v>44365</c:v>
                </c:pt>
                <c:pt idx="106">
                  <c:v>44368</c:v>
                </c:pt>
                <c:pt idx="107">
                  <c:v>44369</c:v>
                </c:pt>
                <c:pt idx="108">
                  <c:v>44370</c:v>
                </c:pt>
                <c:pt idx="109">
                  <c:v>44371</c:v>
                </c:pt>
                <c:pt idx="110">
                  <c:v>44372</c:v>
                </c:pt>
                <c:pt idx="111">
                  <c:v>44375</c:v>
                </c:pt>
                <c:pt idx="112">
                  <c:v>44376</c:v>
                </c:pt>
                <c:pt idx="113">
                  <c:v>44377</c:v>
                </c:pt>
                <c:pt idx="114">
                  <c:v>44378</c:v>
                </c:pt>
                <c:pt idx="115">
                  <c:v>44379</c:v>
                </c:pt>
                <c:pt idx="116">
                  <c:v>44382</c:v>
                </c:pt>
                <c:pt idx="117">
                  <c:v>44383</c:v>
                </c:pt>
                <c:pt idx="118">
                  <c:v>44384</c:v>
                </c:pt>
                <c:pt idx="119">
                  <c:v>44385</c:v>
                </c:pt>
                <c:pt idx="120">
                  <c:v>44386</c:v>
                </c:pt>
                <c:pt idx="121">
                  <c:v>44389</c:v>
                </c:pt>
                <c:pt idx="122">
                  <c:v>44390</c:v>
                </c:pt>
                <c:pt idx="123">
                  <c:v>44391</c:v>
                </c:pt>
              </c:numCache>
            </c:numRef>
          </c:cat>
          <c:val>
            <c:numRef>
              <c:f>주식시세예측!$J$7:$J$130</c:f>
              <c:numCache>
                <c:formatCode>#,##0</c:formatCode>
                <c:ptCount val="124"/>
                <c:pt idx="0">
                  <c:v>34000</c:v>
                </c:pt>
                <c:pt idx="1">
                  <c:v>32950</c:v>
                </c:pt>
                <c:pt idx="2">
                  <c:v>33450</c:v>
                </c:pt>
                <c:pt idx="3">
                  <c:v>34300</c:v>
                </c:pt>
                <c:pt idx="4">
                  <c:v>33800</c:v>
                </c:pt>
                <c:pt idx="5">
                  <c:v>33000</c:v>
                </c:pt>
                <c:pt idx="6">
                  <c:v>34800</c:v>
                </c:pt>
                <c:pt idx="7">
                  <c:v>34100</c:v>
                </c:pt>
                <c:pt idx="8">
                  <c:v>33500</c:v>
                </c:pt>
                <c:pt idx="9">
                  <c:v>33000</c:v>
                </c:pt>
                <c:pt idx="10">
                  <c:v>31950</c:v>
                </c:pt>
                <c:pt idx="11">
                  <c:v>32800</c:v>
                </c:pt>
                <c:pt idx="12">
                  <c:v>32900</c:v>
                </c:pt>
                <c:pt idx="13">
                  <c:v>32800</c:v>
                </c:pt>
                <c:pt idx="14">
                  <c:v>32100</c:v>
                </c:pt>
                <c:pt idx="15">
                  <c:v>32350</c:v>
                </c:pt>
                <c:pt idx="16">
                  <c:v>31700</c:v>
                </c:pt>
                <c:pt idx="17">
                  <c:v>31250</c:v>
                </c:pt>
                <c:pt idx="18">
                  <c:v>31250</c:v>
                </c:pt>
                <c:pt idx="19">
                  <c:v>31100</c:v>
                </c:pt>
                <c:pt idx="20">
                  <c:v>30050</c:v>
                </c:pt>
                <c:pt idx="21">
                  <c:v>31650</c:v>
                </c:pt>
                <c:pt idx="22">
                  <c:v>31850</c:v>
                </c:pt>
                <c:pt idx="23">
                  <c:v>32050</c:v>
                </c:pt>
                <c:pt idx="24">
                  <c:v>32050</c:v>
                </c:pt>
                <c:pt idx="25">
                  <c:v>31000</c:v>
                </c:pt>
                <c:pt idx="26">
                  <c:v>29700</c:v>
                </c:pt>
                <c:pt idx="27">
                  <c:v>30100</c:v>
                </c:pt>
                <c:pt idx="28">
                  <c:v>28400</c:v>
                </c:pt>
                <c:pt idx="29">
                  <c:v>29200</c:v>
                </c:pt>
                <c:pt idx="30">
                  <c:v>29350</c:v>
                </c:pt>
                <c:pt idx="31">
                  <c:v>28350</c:v>
                </c:pt>
                <c:pt idx="32">
                  <c:v>28600</c:v>
                </c:pt>
                <c:pt idx="33">
                  <c:v>28400</c:v>
                </c:pt>
                <c:pt idx="34">
                  <c:v>28600</c:v>
                </c:pt>
                <c:pt idx="35">
                  <c:v>28350</c:v>
                </c:pt>
                <c:pt idx="36">
                  <c:v>29800</c:v>
                </c:pt>
                <c:pt idx="37">
                  <c:v>30850</c:v>
                </c:pt>
                <c:pt idx="38">
                  <c:v>30400</c:v>
                </c:pt>
                <c:pt idx="39">
                  <c:v>31050</c:v>
                </c:pt>
                <c:pt idx="40">
                  <c:v>32200</c:v>
                </c:pt>
                <c:pt idx="41">
                  <c:v>32350</c:v>
                </c:pt>
                <c:pt idx="42">
                  <c:v>34150</c:v>
                </c:pt>
                <c:pt idx="43">
                  <c:v>36300</c:v>
                </c:pt>
                <c:pt idx="44">
                  <c:v>35350</c:v>
                </c:pt>
                <c:pt idx="45">
                  <c:v>38650</c:v>
                </c:pt>
                <c:pt idx="46">
                  <c:v>38350</c:v>
                </c:pt>
                <c:pt idx="47">
                  <c:v>39200</c:v>
                </c:pt>
                <c:pt idx="48">
                  <c:v>38800</c:v>
                </c:pt>
                <c:pt idx="49">
                  <c:v>38800</c:v>
                </c:pt>
                <c:pt idx="50">
                  <c:v>37950</c:v>
                </c:pt>
                <c:pt idx="51">
                  <c:v>38100</c:v>
                </c:pt>
                <c:pt idx="52">
                  <c:v>39000</c:v>
                </c:pt>
                <c:pt idx="53">
                  <c:v>39750</c:v>
                </c:pt>
                <c:pt idx="54">
                  <c:v>40450</c:v>
                </c:pt>
                <c:pt idx="55">
                  <c:v>38050</c:v>
                </c:pt>
                <c:pt idx="56">
                  <c:v>40000</c:v>
                </c:pt>
                <c:pt idx="57">
                  <c:v>39150</c:v>
                </c:pt>
                <c:pt idx="58">
                  <c:v>38550</c:v>
                </c:pt>
                <c:pt idx="59">
                  <c:v>38600</c:v>
                </c:pt>
                <c:pt idx="60">
                  <c:v>38800</c:v>
                </c:pt>
                <c:pt idx="61">
                  <c:v>38300</c:v>
                </c:pt>
                <c:pt idx="62">
                  <c:v>38000</c:v>
                </c:pt>
                <c:pt idx="63">
                  <c:v>37050</c:v>
                </c:pt>
                <c:pt idx="64">
                  <c:v>36900</c:v>
                </c:pt>
                <c:pt idx="65">
                  <c:v>37050</c:v>
                </c:pt>
                <c:pt idx="66">
                  <c:v>37600</c:v>
                </c:pt>
                <c:pt idx="67">
                  <c:v>37700</c:v>
                </c:pt>
                <c:pt idx="68">
                  <c:v>37200</c:v>
                </c:pt>
                <c:pt idx="69">
                  <c:v>36050</c:v>
                </c:pt>
                <c:pt idx="70">
                  <c:v>34850</c:v>
                </c:pt>
                <c:pt idx="71">
                  <c:v>34800</c:v>
                </c:pt>
                <c:pt idx="72">
                  <c:v>34200</c:v>
                </c:pt>
                <c:pt idx="73">
                  <c:v>33750</c:v>
                </c:pt>
                <c:pt idx="74">
                  <c:v>34500</c:v>
                </c:pt>
                <c:pt idx="75">
                  <c:v>34000</c:v>
                </c:pt>
                <c:pt idx="76">
                  <c:v>34300</c:v>
                </c:pt>
                <c:pt idx="77">
                  <c:v>35550</c:v>
                </c:pt>
                <c:pt idx="78">
                  <c:v>35200</c:v>
                </c:pt>
                <c:pt idx="79">
                  <c:v>37600</c:v>
                </c:pt>
                <c:pt idx="80">
                  <c:v>38300</c:v>
                </c:pt>
                <c:pt idx="81">
                  <c:v>38600</c:v>
                </c:pt>
                <c:pt idx="82">
                  <c:v>37250</c:v>
                </c:pt>
                <c:pt idx="83">
                  <c:v>37400</c:v>
                </c:pt>
                <c:pt idx="84">
                  <c:v>38000</c:v>
                </c:pt>
                <c:pt idx="85">
                  <c:v>39250</c:v>
                </c:pt>
                <c:pt idx="86">
                  <c:v>36500</c:v>
                </c:pt>
                <c:pt idx="87">
                  <c:v>36550</c:v>
                </c:pt>
                <c:pt idx="88">
                  <c:v>37250</c:v>
                </c:pt>
                <c:pt idx="89">
                  <c:v>36350</c:v>
                </c:pt>
                <c:pt idx="90">
                  <c:v>35800</c:v>
                </c:pt>
                <c:pt idx="91">
                  <c:v>35800</c:v>
                </c:pt>
                <c:pt idx="92">
                  <c:v>36450</c:v>
                </c:pt>
                <c:pt idx="93">
                  <c:v>36300</c:v>
                </c:pt>
                <c:pt idx="94">
                  <c:v>36100</c:v>
                </c:pt>
                <c:pt idx="95">
                  <c:v>35800</c:v>
                </c:pt>
                <c:pt idx="96">
                  <c:v>35550</c:v>
                </c:pt>
                <c:pt idx="97">
                  <c:v>36350</c:v>
                </c:pt>
                <c:pt idx="98">
                  <c:v>35700</c:v>
                </c:pt>
                <c:pt idx="99">
                  <c:v>37000</c:v>
                </c:pt>
                <c:pt idx="100">
                  <c:v>36900</c:v>
                </c:pt>
                <c:pt idx="101">
                  <c:v>36950</c:v>
                </c:pt>
                <c:pt idx="102">
                  <c:v>36750</c:v>
                </c:pt>
                <c:pt idx="103">
                  <c:v>37500</c:v>
                </c:pt>
                <c:pt idx="104">
                  <c:v>37850</c:v>
                </c:pt>
                <c:pt idx="105">
                  <c:v>40650</c:v>
                </c:pt>
                <c:pt idx="106">
                  <c:v>41600</c:v>
                </c:pt>
                <c:pt idx="107">
                  <c:v>41650</c:v>
                </c:pt>
                <c:pt idx="108">
                  <c:v>41600</c:v>
                </c:pt>
                <c:pt idx="109">
                  <c:v>40700</c:v>
                </c:pt>
                <c:pt idx="110">
                  <c:v>41000</c:v>
                </c:pt>
                <c:pt idx="111">
                  <c:v>41200</c:v>
                </c:pt>
                <c:pt idx="112">
                  <c:v>43900</c:v>
                </c:pt>
                <c:pt idx="113">
                  <c:v>43950</c:v>
                </c:pt>
                <c:pt idx="114">
                  <c:v>42600</c:v>
                </c:pt>
                <c:pt idx="115">
                  <c:v>42550</c:v>
                </c:pt>
                <c:pt idx="116">
                  <c:v>42900</c:v>
                </c:pt>
                <c:pt idx="117">
                  <c:v>41550</c:v>
                </c:pt>
                <c:pt idx="118">
                  <c:v>41000</c:v>
                </c:pt>
                <c:pt idx="119">
                  <c:v>40950</c:v>
                </c:pt>
                <c:pt idx="120">
                  <c:v>40250</c:v>
                </c:pt>
                <c:pt idx="121">
                  <c:v>40600</c:v>
                </c:pt>
                <c:pt idx="122">
                  <c:v>41850</c:v>
                </c:pt>
                <c:pt idx="123">
                  <c:v>45450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52-4EB7-B40B-22E0C8A79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6350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hiLowLines>
        <c:upDownBars>
          <c:gapWidth val="50"/>
          <c:upBars>
            <c:spPr>
              <a:solidFill>
                <a:srgbClr val="FF0000"/>
              </a:solidFill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upBars>
          <c:downBars>
            <c:spPr>
              <a:solidFill>
                <a:srgbClr val="0000FF"/>
              </a:solidFill>
              <a:ln w="9525" cap="flat" cmpd="sng" algn="ctr">
                <a:solidFill>
                  <a:srgbClr val="0000FF"/>
                </a:solidFill>
                <a:round/>
              </a:ln>
              <a:effectLst/>
            </c:spPr>
          </c:downBars>
        </c:upDownBars>
        <c:axId val="1151735392"/>
        <c:axId val="1151734560"/>
      </c:stockChart>
      <c:stockChart>
        <c:ser>
          <c:idx val="4"/>
          <c:order val="4"/>
          <c:tx>
            <c:strRef>
              <c:f>주식시세예측!$M$6</c:f>
              <c:strCache>
                <c:ptCount val="1"/>
                <c:pt idx="0">
                  <c:v>5일선</c:v>
                </c:pt>
              </c:strCache>
            </c:strRef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주식시세예측!$M$7:$M$130</c:f>
              <c:numCache>
                <c:formatCode>#,##0</c:formatCode>
                <c:ptCount val="124"/>
                <c:pt idx="5">
                  <c:v>33700</c:v>
                </c:pt>
                <c:pt idx="6">
                  <c:v>33500</c:v>
                </c:pt>
                <c:pt idx="7">
                  <c:v>33870</c:v>
                </c:pt>
                <c:pt idx="8">
                  <c:v>34000</c:v>
                </c:pt>
                <c:pt idx="9">
                  <c:v>33840</c:v>
                </c:pt>
                <c:pt idx="10">
                  <c:v>33680</c:v>
                </c:pt>
                <c:pt idx="11">
                  <c:v>33470</c:v>
                </c:pt>
                <c:pt idx="12">
                  <c:v>33070</c:v>
                </c:pt>
                <c:pt idx="13">
                  <c:v>32830</c:v>
                </c:pt>
                <c:pt idx="14">
                  <c:v>32690</c:v>
                </c:pt>
                <c:pt idx="15">
                  <c:v>32510</c:v>
                </c:pt>
                <c:pt idx="16">
                  <c:v>32590</c:v>
                </c:pt>
                <c:pt idx="17">
                  <c:v>32370</c:v>
                </c:pt>
                <c:pt idx="18">
                  <c:v>32040</c:v>
                </c:pt>
                <c:pt idx="19">
                  <c:v>31730</c:v>
                </c:pt>
                <c:pt idx="20">
                  <c:v>31530</c:v>
                </c:pt>
                <c:pt idx="21">
                  <c:v>31070</c:v>
                </c:pt>
                <c:pt idx="22">
                  <c:v>31060</c:v>
                </c:pt>
                <c:pt idx="23">
                  <c:v>31180</c:v>
                </c:pt>
                <c:pt idx="24">
                  <c:v>31340</c:v>
                </c:pt>
                <c:pt idx="25">
                  <c:v>31530</c:v>
                </c:pt>
                <c:pt idx="26">
                  <c:v>31720</c:v>
                </c:pt>
                <c:pt idx="27">
                  <c:v>31330</c:v>
                </c:pt>
                <c:pt idx="28">
                  <c:v>30980</c:v>
                </c:pt>
                <c:pt idx="29">
                  <c:v>30250</c:v>
                </c:pt>
                <c:pt idx="30">
                  <c:v>29680</c:v>
                </c:pt>
                <c:pt idx="31">
                  <c:v>29350</c:v>
                </c:pt>
                <c:pt idx="32">
                  <c:v>29080</c:v>
                </c:pt>
                <c:pt idx="33">
                  <c:v>28780</c:v>
                </c:pt>
                <c:pt idx="34">
                  <c:v>28780</c:v>
                </c:pt>
                <c:pt idx="35">
                  <c:v>28660</c:v>
                </c:pt>
                <c:pt idx="36">
                  <c:v>28460</c:v>
                </c:pt>
                <c:pt idx="37">
                  <c:v>28750</c:v>
                </c:pt>
                <c:pt idx="38">
                  <c:v>29200</c:v>
                </c:pt>
                <c:pt idx="39">
                  <c:v>29600</c:v>
                </c:pt>
                <c:pt idx="40">
                  <c:v>30090</c:v>
                </c:pt>
                <c:pt idx="41">
                  <c:v>30860</c:v>
                </c:pt>
                <c:pt idx="42">
                  <c:v>31370</c:v>
                </c:pt>
                <c:pt idx="43">
                  <c:v>32030</c:v>
                </c:pt>
                <c:pt idx="44">
                  <c:v>33210</c:v>
                </c:pt>
                <c:pt idx="45">
                  <c:v>34070</c:v>
                </c:pt>
                <c:pt idx="46">
                  <c:v>35360</c:v>
                </c:pt>
                <c:pt idx="47">
                  <c:v>36560</c:v>
                </c:pt>
                <c:pt idx="48">
                  <c:v>37570</c:v>
                </c:pt>
                <c:pt idx="49">
                  <c:v>38070</c:v>
                </c:pt>
                <c:pt idx="50">
                  <c:v>38760</c:v>
                </c:pt>
                <c:pt idx="51">
                  <c:v>38620</c:v>
                </c:pt>
                <c:pt idx="52">
                  <c:v>38570</c:v>
                </c:pt>
                <c:pt idx="53">
                  <c:v>38530</c:v>
                </c:pt>
                <c:pt idx="54">
                  <c:v>38720</c:v>
                </c:pt>
                <c:pt idx="55">
                  <c:v>39050</c:v>
                </c:pt>
                <c:pt idx="56">
                  <c:v>39070</c:v>
                </c:pt>
                <c:pt idx="57">
                  <c:v>39450</c:v>
                </c:pt>
                <c:pt idx="58">
                  <c:v>39480</c:v>
                </c:pt>
                <c:pt idx="59">
                  <c:v>39240</c:v>
                </c:pt>
                <c:pt idx="60">
                  <c:v>38870</c:v>
                </c:pt>
                <c:pt idx="61">
                  <c:v>39020</c:v>
                </c:pt>
                <c:pt idx="62">
                  <c:v>38680</c:v>
                </c:pt>
                <c:pt idx="63">
                  <c:v>38450</c:v>
                </c:pt>
                <c:pt idx="64">
                  <c:v>38150</c:v>
                </c:pt>
                <c:pt idx="65">
                  <c:v>37810</c:v>
                </c:pt>
                <c:pt idx="66">
                  <c:v>37460</c:v>
                </c:pt>
                <c:pt idx="67">
                  <c:v>37320</c:v>
                </c:pt>
                <c:pt idx="68">
                  <c:v>37260</c:v>
                </c:pt>
                <c:pt idx="69">
                  <c:v>37290</c:v>
                </c:pt>
                <c:pt idx="70">
                  <c:v>37120</c:v>
                </c:pt>
                <c:pt idx="71">
                  <c:v>36680</c:v>
                </c:pt>
                <c:pt idx="72">
                  <c:v>36120</c:v>
                </c:pt>
                <c:pt idx="73">
                  <c:v>35420</c:v>
                </c:pt>
                <c:pt idx="74">
                  <c:v>34730</c:v>
                </c:pt>
                <c:pt idx="75">
                  <c:v>34420</c:v>
                </c:pt>
                <c:pt idx="76">
                  <c:v>34250</c:v>
                </c:pt>
                <c:pt idx="77">
                  <c:v>34150</c:v>
                </c:pt>
                <c:pt idx="78">
                  <c:v>34420</c:v>
                </c:pt>
                <c:pt idx="79">
                  <c:v>34710</c:v>
                </c:pt>
                <c:pt idx="80">
                  <c:v>35330</c:v>
                </c:pt>
                <c:pt idx="81">
                  <c:v>36190</c:v>
                </c:pt>
                <c:pt idx="82">
                  <c:v>37050</c:v>
                </c:pt>
                <c:pt idx="83">
                  <c:v>37390</c:v>
                </c:pt>
                <c:pt idx="84">
                  <c:v>37830</c:v>
                </c:pt>
                <c:pt idx="85">
                  <c:v>37910</c:v>
                </c:pt>
                <c:pt idx="86">
                  <c:v>38100</c:v>
                </c:pt>
                <c:pt idx="87">
                  <c:v>37680</c:v>
                </c:pt>
                <c:pt idx="88">
                  <c:v>37540</c:v>
                </c:pt>
                <c:pt idx="89">
                  <c:v>37510</c:v>
                </c:pt>
                <c:pt idx="90">
                  <c:v>37180</c:v>
                </c:pt>
                <c:pt idx="91">
                  <c:v>36490</c:v>
                </c:pt>
                <c:pt idx="92">
                  <c:v>36350</c:v>
                </c:pt>
                <c:pt idx="93">
                  <c:v>36330</c:v>
                </c:pt>
                <c:pt idx="94">
                  <c:v>36140</c:v>
                </c:pt>
                <c:pt idx="95">
                  <c:v>36090</c:v>
                </c:pt>
                <c:pt idx="96">
                  <c:v>36090</c:v>
                </c:pt>
                <c:pt idx="97">
                  <c:v>36040</c:v>
                </c:pt>
                <c:pt idx="98">
                  <c:v>36020</c:v>
                </c:pt>
                <c:pt idx="99">
                  <c:v>35900</c:v>
                </c:pt>
                <c:pt idx="100">
                  <c:v>36080</c:v>
                </c:pt>
                <c:pt idx="101">
                  <c:v>36300</c:v>
                </c:pt>
                <c:pt idx="102">
                  <c:v>36580</c:v>
                </c:pt>
                <c:pt idx="103">
                  <c:v>36660</c:v>
                </c:pt>
                <c:pt idx="104">
                  <c:v>37020</c:v>
                </c:pt>
                <c:pt idx="105">
                  <c:v>37190</c:v>
                </c:pt>
                <c:pt idx="106">
                  <c:v>37940</c:v>
                </c:pt>
                <c:pt idx="107">
                  <c:v>38870</c:v>
                </c:pt>
                <c:pt idx="108">
                  <c:v>39850</c:v>
                </c:pt>
                <c:pt idx="109">
                  <c:v>40670</c:v>
                </c:pt>
                <c:pt idx="110">
                  <c:v>41240</c:v>
                </c:pt>
                <c:pt idx="111">
                  <c:v>41310</c:v>
                </c:pt>
                <c:pt idx="112">
                  <c:v>41230</c:v>
                </c:pt>
                <c:pt idx="113">
                  <c:v>41680</c:v>
                </c:pt>
                <c:pt idx="114">
                  <c:v>42150</c:v>
                </c:pt>
                <c:pt idx="115">
                  <c:v>42530</c:v>
                </c:pt>
                <c:pt idx="116">
                  <c:v>42840</c:v>
                </c:pt>
                <c:pt idx="117">
                  <c:v>43180</c:v>
                </c:pt>
                <c:pt idx="118">
                  <c:v>42710</c:v>
                </c:pt>
                <c:pt idx="119">
                  <c:v>42120</c:v>
                </c:pt>
                <c:pt idx="120">
                  <c:v>41790</c:v>
                </c:pt>
                <c:pt idx="121">
                  <c:v>41330</c:v>
                </c:pt>
                <c:pt idx="122">
                  <c:v>40870</c:v>
                </c:pt>
                <c:pt idx="123">
                  <c:v>40930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252-4EB7-B40B-22E0C8A79A49}"/>
            </c:ext>
          </c:extLst>
        </c:ser>
        <c:ser>
          <c:idx val="5"/>
          <c:order val="5"/>
          <c:tx>
            <c:strRef>
              <c:f>주식시세예측!$N$6</c:f>
              <c:strCache>
                <c:ptCount val="1"/>
                <c:pt idx="0">
                  <c:v>20일선</c:v>
                </c:pt>
              </c:strCache>
            </c:strRef>
          </c:tx>
          <c:spPr>
            <a:ln w="127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주식시세예측!$N$7:$N$130</c:f>
              <c:numCache>
                <c:formatCode>#,##0</c:formatCode>
                <c:ptCount val="124"/>
                <c:pt idx="20">
                  <c:v>32855</c:v>
                </c:pt>
                <c:pt idx="21">
                  <c:v>32657.5</c:v>
                </c:pt>
                <c:pt idx="22">
                  <c:v>32592.5</c:v>
                </c:pt>
                <c:pt idx="23">
                  <c:v>32512.5</c:v>
                </c:pt>
                <c:pt idx="24">
                  <c:v>32400</c:v>
                </c:pt>
                <c:pt idx="25">
                  <c:v>32312.5</c:v>
                </c:pt>
                <c:pt idx="26">
                  <c:v>32212.5</c:v>
                </c:pt>
                <c:pt idx="27">
                  <c:v>31957.5</c:v>
                </c:pt>
                <c:pt idx="28">
                  <c:v>31757.5</c:v>
                </c:pt>
                <c:pt idx="29">
                  <c:v>31502.5</c:v>
                </c:pt>
                <c:pt idx="30">
                  <c:v>31312.5</c:v>
                </c:pt>
                <c:pt idx="31">
                  <c:v>31182.5</c:v>
                </c:pt>
                <c:pt idx="32">
                  <c:v>30960</c:v>
                </c:pt>
                <c:pt idx="33">
                  <c:v>30745</c:v>
                </c:pt>
                <c:pt idx="34">
                  <c:v>30525</c:v>
                </c:pt>
                <c:pt idx="35">
                  <c:v>30350</c:v>
                </c:pt>
                <c:pt idx="36">
                  <c:v>30150</c:v>
                </c:pt>
                <c:pt idx="37">
                  <c:v>30055</c:v>
                </c:pt>
                <c:pt idx="38">
                  <c:v>30035</c:v>
                </c:pt>
                <c:pt idx="39">
                  <c:v>29992.5</c:v>
                </c:pt>
                <c:pt idx="40">
                  <c:v>29990</c:v>
                </c:pt>
                <c:pt idx="41">
                  <c:v>30097.5</c:v>
                </c:pt>
                <c:pt idx="42">
                  <c:v>30132.5</c:v>
                </c:pt>
                <c:pt idx="43">
                  <c:v>30247.5</c:v>
                </c:pt>
                <c:pt idx="44">
                  <c:v>30460</c:v>
                </c:pt>
                <c:pt idx="45">
                  <c:v>30625</c:v>
                </c:pt>
                <c:pt idx="46">
                  <c:v>31007.5</c:v>
                </c:pt>
                <c:pt idx="47">
                  <c:v>31440</c:v>
                </c:pt>
                <c:pt idx="48">
                  <c:v>31895</c:v>
                </c:pt>
                <c:pt idx="49">
                  <c:v>32415</c:v>
                </c:pt>
                <c:pt idx="50">
                  <c:v>32895</c:v>
                </c:pt>
                <c:pt idx="51">
                  <c:v>33325</c:v>
                </c:pt>
                <c:pt idx="52">
                  <c:v>33812.5</c:v>
                </c:pt>
                <c:pt idx="53">
                  <c:v>34332.5</c:v>
                </c:pt>
                <c:pt idx="54">
                  <c:v>34900</c:v>
                </c:pt>
                <c:pt idx="55">
                  <c:v>35492.5</c:v>
                </c:pt>
                <c:pt idx="56">
                  <c:v>35977.5</c:v>
                </c:pt>
                <c:pt idx="57">
                  <c:v>36487.5</c:v>
                </c:pt>
                <c:pt idx="58">
                  <c:v>36902.5</c:v>
                </c:pt>
                <c:pt idx="59">
                  <c:v>37310</c:v>
                </c:pt>
                <c:pt idx="60">
                  <c:v>37687.5</c:v>
                </c:pt>
                <c:pt idx="61">
                  <c:v>38017.5</c:v>
                </c:pt>
                <c:pt idx="62">
                  <c:v>38315</c:v>
                </c:pt>
                <c:pt idx="63">
                  <c:v>38507.5</c:v>
                </c:pt>
                <c:pt idx="64">
                  <c:v>38545</c:v>
                </c:pt>
                <c:pt idx="65">
                  <c:v>38622.5</c:v>
                </c:pt>
                <c:pt idx="66">
                  <c:v>38542.5</c:v>
                </c:pt>
                <c:pt idx="67">
                  <c:v>38505</c:v>
                </c:pt>
                <c:pt idx="68">
                  <c:v>38430</c:v>
                </c:pt>
                <c:pt idx="69">
                  <c:v>38350</c:v>
                </c:pt>
                <c:pt idx="70">
                  <c:v>38212.5</c:v>
                </c:pt>
                <c:pt idx="71">
                  <c:v>38057.5</c:v>
                </c:pt>
                <c:pt idx="72">
                  <c:v>37892.5</c:v>
                </c:pt>
                <c:pt idx="73">
                  <c:v>37652.5</c:v>
                </c:pt>
                <c:pt idx="74">
                  <c:v>37352.5</c:v>
                </c:pt>
                <c:pt idx="75">
                  <c:v>37055</c:v>
                </c:pt>
                <c:pt idx="76">
                  <c:v>36852.5</c:v>
                </c:pt>
                <c:pt idx="77">
                  <c:v>36567.5</c:v>
                </c:pt>
                <c:pt idx="78">
                  <c:v>36387.5</c:v>
                </c:pt>
                <c:pt idx="79">
                  <c:v>36220</c:v>
                </c:pt>
                <c:pt idx="80">
                  <c:v>36170</c:v>
                </c:pt>
                <c:pt idx="81">
                  <c:v>36145</c:v>
                </c:pt>
                <c:pt idx="82">
                  <c:v>36160</c:v>
                </c:pt>
                <c:pt idx="83">
                  <c:v>36122.5</c:v>
                </c:pt>
                <c:pt idx="84">
                  <c:v>36140</c:v>
                </c:pt>
                <c:pt idx="85">
                  <c:v>36195</c:v>
                </c:pt>
                <c:pt idx="86">
                  <c:v>36305</c:v>
                </c:pt>
                <c:pt idx="87">
                  <c:v>36250</c:v>
                </c:pt>
                <c:pt idx="88">
                  <c:v>36192.5</c:v>
                </c:pt>
                <c:pt idx="89">
                  <c:v>36195</c:v>
                </c:pt>
                <c:pt idx="90">
                  <c:v>36210</c:v>
                </c:pt>
                <c:pt idx="91">
                  <c:v>36257.5</c:v>
                </c:pt>
                <c:pt idx="92">
                  <c:v>36307.5</c:v>
                </c:pt>
                <c:pt idx="93">
                  <c:v>36420</c:v>
                </c:pt>
                <c:pt idx="94">
                  <c:v>36547.5</c:v>
                </c:pt>
                <c:pt idx="95">
                  <c:v>36627.5</c:v>
                </c:pt>
                <c:pt idx="96">
                  <c:v>36717.5</c:v>
                </c:pt>
                <c:pt idx="97">
                  <c:v>36780</c:v>
                </c:pt>
                <c:pt idx="98">
                  <c:v>36820</c:v>
                </c:pt>
                <c:pt idx="99">
                  <c:v>36845</c:v>
                </c:pt>
                <c:pt idx="100">
                  <c:v>36815</c:v>
                </c:pt>
                <c:pt idx="101">
                  <c:v>36745</c:v>
                </c:pt>
                <c:pt idx="102">
                  <c:v>36662.5</c:v>
                </c:pt>
                <c:pt idx="103">
                  <c:v>36637.5</c:v>
                </c:pt>
                <c:pt idx="104">
                  <c:v>36642.5</c:v>
                </c:pt>
                <c:pt idx="105">
                  <c:v>36635</c:v>
                </c:pt>
                <c:pt idx="106">
                  <c:v>36705</c:v>
                </c:pt>
                <c:pt idx="107">
                  <c:v>36960</c:v>
                </c:pt>
                <c:pt idx="108">
                  <c:v>37215</c:v>
                </c:pt>
                <c:pt idx="109">
                  <c:v>37432.5</c:v>
                </c:pt>
                <c:pt idx="110">
                  <c:v>37650</c:v>
                </c:pt>
                <c:pt idx="111">
                  <c:v>37910</c:v>
                </c:pt>
                <c:pt idx="112">
                  <c:v>38180</c:v>
                </c:pt>
                <c:pt idx="113">
                  <c:v>38552.5</c:v>
                </c:pt>
                <c:pt idx="114">
                  <c:v>38935</c:v>
                </c:pt>
                <c:pt idx="115">
                  <c:v>39260</c:v>
                </c:pt>
                <c:pt idx="116">
                  <c:v>39597.5</c:v>
                </c:pt>
                <c:pt idx="117">
                  <c:v>39965</c:v>
                </c:pt>
                <c:pt idx="118">
                  <c:v>40225</c:v>
                </c:pt>
                <c:pt idx="119">
                  <c:v>40490</c:v>
                </c:pt>
                <c:pt idx="120">
                  <c:v>40687.5</c:v>
                </c:pt>
                <c:pt idx="121">
                  <c:v>40855</c:v>
                </c:pt>
                <c:pt idx="122">
                  <c:v>41037.5</c:v>
                </c:pt>
                <c:pt idx="123">
                  <c:v>41292.5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252-4EB7-B40B-22E0C8A79A49}"/>
            </c:ext>
          </c:extLst>
        </c:ser>
        <c:ser>
          <c:idx val="6"/>
          <c:order val="6"/>
          <c:tx>
            <c:strRef>
              <c:f>주식시세예측!$O$6</c:f>
              <c:strCache>
                <c:ptCount val="1"/>
                <c:pt idx="0">
                  <c:v>60일선</c:v>
                </c:pt>
              </c:strCache>
            </c:strRef>
          </c:tx>
          <c:spPr>
            <a:ln w="1270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val>
            <c:numRef>
              <c:f>주식시세예측!$O$7:$O$130</c:f>
              <c:numCache>
                <c:formatCode>#,##0</c:formatCode>
                <c:ptCount val="124"/>
                <c:pt idx="60">
                  <c:v>33510.833333333336</c:v>
                </c:pt>
                <c:pt idx="61">
                  <c:v>33590.833333333336</c:v>
                </c:pt>
                <c:pt idx="62">
                  <c:v>33680</c:v>
                </c:pt>
                <c:pt idx="63">
                  <c:v>33755.833333333336</c:v>
                </c:pt>
                <c:pt idx="64">
                  <c:v>33801.666666666664</c:v>
                </c:pt>
                <c:pt idx="65">
                  <c:v>33853.333333333336</c:v>
                </c:pt>
                <c:pt idx="66">
                  <c:v>33920.833333333336</c:v>
                </c:pt>
                <c:pt idx="67">
                  <c:v>33967.5</c:v>
                </c:pt>
                <c:pt idx="68">
                  <c:v>34027.5</c:v>
                </c:pt>
                <c:pt idx="69">
                  <c:v>34089.166666666664</c:v>
                </c:pt>
                <c:pt idx="70">
                  <c:v>34140</c:v>
                </c:pt>
                <c:pt idx="71">
                  <c:v>34188.333333333336</c:v>
                </c:pt>
                <c:pt idx="72">
                  <c:v>34221.666666666664</c:v>
                </c:pt>
                <c:pt idx="73">
                  <c:v>34243.333333333336</c:v>
                </c:pt>
                <c:pt idx="74">
                  <c:v>34259.166666666664</c:v>
                </c:pt>
                <c:pt idx="75">
                  <c:v>34299.166666666664</c:v>
                </c:pt>
                <c:pt idx="76">
                  <c:v>34326.666666666664</c:v>
                </c:pt>
                <c:pt idx="77">
                  <c:v>34370</c:v>
                </c:pt>
                <c:pt idx="78">
                  <c:v>34441.666666666664</c:v>
                </c:pt>
                <c:pt idx="79">
                  <c:v>34507.5</c:v>
                </c:pt>
                <c:pt idx="80">
                  <c:v>34615.833333333336</c:v>
                </c:pt>
                <c:pt idx="81">
                  <c:v>34753.333333333336</c:v>
                </c:pt>
                <c:pt idx="82">
                  <c:v>34869.166666666664</c:v>
                </c:pt>
                <c:pt idx="83">
                  <c:v>34959.166666666664</c:v>
                </c:pt>
                <c:pt idx="84">
                  <c:v>35048.333333333336</c:v>
                </c:pt>
                <c:pt idx="85">
                  <c:v>35147.5</c:v>
                </c:pt>
                <c:pt idx="86">
                  <c:v>35285</c:v>
                </c:pt>
                <c:pt idx="87">
                  <c:v>35398.333333333336</c:v>
                </c:pt>
                <c:pt idx="88">
                  <c:v>35505.833333333336</c:v>
                </c:pt>
                <c:pt idx="89">
                  <c:v>35653.333333333336</c:v>
                </c:pt>
                <c:pt idx="90">
                  <c:v>35772.5</c:v>
                </c:pt>
                <c:pt idx="91">
                  <c:v>35880</c:v>
                </c:pt>
                <c:pt idx="92">
                  <c:v>36004.166666666664</c:v>
                </c:pt>
                <c:pt idx="93">
                  <c:v>36135</c:v>
                </c:pt>
                <c:pt idx="94">
                  <c:v>36266.666666666664</c:v>
                </c:pt>
                <c:pt idx="95">
                  <c:v>36391.666666666664</c:v>
                </c:pt>
                <c:pt idx="96">
                  <c:v>36515.833333333336</c:v>
                </c:pt>
                <c:pt idx="97">
                  <c:v>36611.666666666664</c:v>
                </c:pt>
                <c:pt idx="98">
                  <c:v>36703.333333333336</c:v>
                </c:pt>
                <c:pt idx="99">
                  <c:v>36791.666666666664</c:v>
                </c:pt>
                <c:pt idx="100">
                  <c:v>36890.833333333336</c:v>
                </c:pt>
                <c:pt idx="101">
                  <c:v>36969.166666666664</c:v>
                </c:pt>
                <c:pt idx="102">
                  <c:v>37045.833333333336</c:v>
                </c:pt>
                <c:pt idx="103">
                  <c:v>37089.166666666664</c:v>
                </c:pt>
                <c:pt idx="104">
                  <c:v>37109.166666666664</c:v>
                </c:pt>
                <c:pt idx="105">
                  <c:v>37150.833333333336</c:v>
                </c:pt>
                <c:pt idx="106">
                  <c:v>37184.166666666664</c:v>
                </c:pt>
                <c:pt idx="107">
                  <c:v>37238.333333333336</c:v>
                </c:pt>
                <c:pt idx="108">
                  <c:v>37279.166666666664</c:v>
                </c:pt>
                <c:pt idx="109">
                  <c:v>37325.833333333336</c:v>
                </c:pt>
                <c:pt idx="110">
                  <c:v>37357.5</c:v>
                </c:pt>
                <c:pt idx="111">
                  <c:v>37408.333333333336</c:v>
                </c:pt>
                <c:pt idx="112">
                  <c:v>37460</c:v>
                </c:pt>
                <c:pt idx="113">
                  <c:v>37541.666666666664</c:v>
                </c:pt>
                <c:pt idx="114">
                  <c:v>37611.666666666664</c:v>
                </c:pt>
                <c:pt idx="115">
                  <c:v>37647.5</c:v>
                </c:pt>
                <c:pt idx="116">
                  <c:v>37722.5</c:v>
                </c:pt>
                <c:pt idx="117">
                  <c:v>37770.833333333336</c:v>
                </c:pt>
                <c:pt idx="118">
                  <c:v>37810.833333333336</c:v>
                </c:pt>
                <c:pt idx="119">
                  <c:v>37851.666666666664</c:v>
                </c:pt>
                <c:pt idx="120">
                  <c:v>37890.833333333336</c:v>
                </c:pt>
                <c:pt idx="121">
                  <c:v>37915</c:v>
                </c:pt>
                <c:pt idx="122">
                  <c:v>37953.333333333336</c:v>
                </c:pt>
                <c:pt idx="123">
                  <c:v>38017.5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252-4EB7-B40B-22E0C8A79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1735392"/>
        <c:axId val="1151734560"/>
      </c:stockChart>
      <c:stockChart>
        <c:ser>
          <c:idx val="7"/>
          <c:order val="7"/>
          <c:tx>
            <c:strRef>
              <c:f>주식시세예측!$K$6</c:f>
              <c:strCache>
                <c:ptCount val="1"/>
                <c:pt idx="0">
                  <c:v>거래량</c:v>
                </c:pt>
              </c:strCache>
            </c:strRef>
          </c:tx>
          <c:spPr>
            <a:ln w="9525" cap="rnd">
              <a:solidFill>
                <a:schemeClr val="bg2"/>
              </a:solidFill>
              <a:round/>
            </a:ln>
            <a:effectLst/>
          </c:spPr>
          <c:marker>
            <c:symbol val="none"/>
          </c:marker>
          <c:val>
            <c:numRef>
              <c:f>주식시세예측!$K$7:$K$130</c:f>
              <c:numCache>
                <c:formatCode>#,##0</c:formatCode>
                <c:ptCount val="124"/>
                <c:pt idx="0">
                  <c:v>209223</c:v>
                </c:pt>
                <c:pt idx="1">
                  <c:v>247795</c:v>
                </c:pt>
                <c:pt idx="2">
                  <c:v>169346</c:v>
                </c:pt>
                <c:pt idx="3">
                  <c:v>175455</c:v>
                </c:pt>
                <c:pt idx="4">
                  <c:v>142668</c:v>
                </c:pt>
                <c:pt idx="5">
                  <c:v>194487</c:v>
                </c:pt>
                <c:pt idx="6">
                  <c:v>233934</c:v>
                </c:pt>
                <c:pt idx="7">
                  <c:v>504588</c:v>
                </c:pt>
                <c:pt idx="8">
                  <c:v>157592</c:v>
                </c:pt>
                <c:pt idx="9">
                  <c:v>150535</c:v>
                </c:pt>
                <c:pt idx="10">
                  <c:v>214663</c:v>
                </c:pt>
                <c:pt idx="11">
                  <c:v>133376</c:v>
                </c:pt>
                <c:pt idx="12">
                  <c:v>101596</c:v>
                </c:pt>
                <c:pt idx="13">
                  <c:v>163210</c:v>
                </c:pt>
                <c:pt idx="14">
                  <c:v>150466</c:v>
                </c:pt>
                <c:pt idx="15">
                  <c:v>83785</c:v>
                </c:pt>
                <c:pt idx="16">
                  <c:v>99249</c:v>
                </c:pt>
                <c:pt idx="17">
                  <c:v>137830</c:v>
                </c:pt>
                <c:pt idx="18">
                  <c:v>95760</c:v>
                </c:pt>
                <c:pt idx="19">
                  <c:v>134614</c:v>
                </c:pt>
                <c:pt idx="20">
                  <c:v>285246</c:v>
                </c:pt>
                <c:pt idx="21">
                  <c:v>368052</c:v>
                </c:pt>
                <c:pt idx="22">
                  <c:v>229321</c:v>
                </c:pt>
                <c:pt idx="23">
                  <c:v>140532</c:v>
                </c:pt>
                <c:pt idx="24">
                  <c:v>121995</c:v>
                </c:pt>
                <c:pt idx="25">
                  <c:v>108052</c:v>
                </c:pt>
                <c:pt idx="26">
                  <c:v>160107</c:v>
                </c:pt>
                <c:pt idx="27">
                  <c:v>123262</c:v>
                </c:pt>
                <c:pt idx="28">
                  <c:v>261573</c:v>
                </c:pt>
                <c:pt idx="29">
                  <c:v>121625</c:v>
                </c:pt>
                <c:pt idx="30">
                  <c:v>74261</c:v>
                </c:pt>
                <c:pt idx="31">
                  <c:v>162525</c:v>
                </c:pt>
                <c:pt idx="32">
                  <c:v>107638</c:v>
                </c:pt>
                <c:pt idx="33">
                  <c:v>123807</c:v>
                </c:pt>
                <c:pt idx="34">
                  <c:v>100985</c:v>
                </c:pt>
                <c:pt idx="35">
                  <c:v>78798</c:v>
                </c:pt>
                <c:pt idx="36">
                  <c:v>182237</c:v>
                </c:pt>
                <c:pt idx="37">
                  <c:v>128782</c:v>
                </c:pt>
                <c:pt idx="38">
                  <c:v>66981</c:v>
                </c:pt>
                <c:pt idx="39">
                  <c:v>93824</c:v>
                </c:pt>
                <c:pt idx="40">
                  <c:v>217400</c:v>
                </c:pt>
                <c:pt idx="41">
                  <c:v>186269</c:v>
                </c:pt>
                <c:pt idx="42">
                  <c:v>501667</c:v>
                </c:pt>
                <c:pt idx="43">
                  <c:v>1326207</c:v>
                </c:pt>
                <c:pt idx="44">
                  <c:v>429249</c:v>
                </c:pt>
                <c:pt idx="45">
                  <c:v>904374</c:v>
                </c:pt>
                <c:pt idx="46">
                  <c:v>582296</c:v>
                </c:pt>
                <c:pt idx="47">
                  <c:v>555881</c:v>
                </c:pt>
                <c:pt idx="48">
                  <c:v>494954</c:v>
                </c:pt>
                <c:pt idx="49">
                  <c:v>446671</c:v>
                </c:pt>
                <c:pt idx="50">
                  <c:v>239214</c:v>
                </c:pt>
                <c:pt idx="51">
                  <c:v>361736</c:v>
                </c:pt>
                <c:pt idx="52">
                  <c:v>214591</c:v>
                </c:pt>
                <c:pt idx="53">
                  <c:v>297184</c:v>
                </c:pt>
                <c:pt idx="54">
                  <c:v>865162</c:v>
                </c:pt>
                <c:pt idx="55">
                  <c:v>485297</c:v>
                </c:pt>
                <c:pt idx="56">
                  <c:v>578229</c:v>
                </c:pt>
                <c:pt idx="57">
                  <c:v>405637</c:v>
                </c:pt>
                <c:pt idx="58">
                  <c:v>224705</c:v>
                </c:pt>
                <c:pt idx="59">
                  <c:v>183848</c:v>
                </c:pt>
                <c:pt idx="60">
                  <c:v>201821</c:v>
                </c:pt>
                <c:pt idx="61">
                  <c:v>231762</c:v>
                </c:pt>
                <c:pt idx="62">
                  <c:v>229618</c:v>
                </c:pt>
                <c:pt idx="63">
                  <c:v>507074</c:v>
                </c:pt>
                <c:pt idx="64">
                  <c:v>227348</c:v>
                </c:pt>
                <c:pt idx="65">
                  <c:v>193896</c:v>
                </c:pt>
                <c:pt idx="66">
                  <c:v>165118</c:v>
                </c:pt>
                <c:pt idx="67">
                  <c:v>162858</c:v>
                </c:pt>
                <c:pt idx="68">
                  <c:v>150121</c:v>
                </c:pt>
                <c:pt idx="69">
                  <c:v>365542</c:v>
                </c:pt>
                <c:pt idx="70">
                  <c:v>239218</c:v>
                </c:pt>
                <c:pt idx="71">
                  <c:v>359310</c:v>
                </c:pt>
                <c:pt idx="72">
                  <c:v>217925</c:v>
                </c:pt>
                <c:pt idx="73">
                  <c:v>180718</c:v>
                </c:pt>
                <c:pt idx="74">
                  <c:v>153246</c:v>
                </c:pt>
                <c:pt idx="75">
                  <c:v>156396</c:v>
                </c:pt>
                <c:pt idx="76">
                  <c:v>128545</c:v>
                </c:pt>
                <c:pt idx="77">
                  <c:v>244952</c:v>
                </c:pt>
                <c:pt idx="78">
                  <c:v>147914</c:v>
                </c:pt>
                <c:pt idx="79">
                  <c:v>672457</c:v>
                </c:pt>
                <c:pt idx="80">
                  <c:v>1045634</c:v>
                </c:pt>
                <c:pt idx="81">
                  <c:v>432600</c:v>
                </c:pt>
                <c:pt idx="82">
                  <c:v>393697</c:v>
                </c:pt>
                <c:pt idx="83">
                  <c:v>186355</c:v>
                </c:pt>
                <c:pt idx="84">
                  <c:v>165373</c:v>
                </c:pt>
                <c:pt idx="85">
                  <c:v>944138</c:v>
                </c:pt>
                <c:pt idx="86">
                  <c:v>520991</c:v>
                </c:pt>
                <c:pt idx="87">
                  <c:v>211651</c:v>
                </c:pt>
                <c:pt idx="88">
                  <c:v>204215</c:v>
                </c:pt>
                <c:pt idx="89">
                  <c:v>188058</c:v>
                </c:pt>
                <c:pt idx="90">
                  <c:v>201276</c:v>
                </c:pt>
                <c:pt idx="91">
                  <c:v>92484</c:v>
                </c:pt>
                <c:pt idx="92">
                  <c:v>194561</c:v>
                </c:pt>
                <c:pt idx="93">
                  <c:v>146523</c:v>
                </c:pt>
                <c:pt idx="94">
                  <c:v>110085</c:v>
                </c:pt>
                <c:pt idx="95">
                  <c:v>122438</c:v>
                </c:pt>
                <c:pt idx="96">
                  <c:v>115943</c:v>
                </c:pt>
                <c:pt idx="97">
                  <c:v>147996</c:v>
                </c:pt>
                <c:pt idx="98">
                  <c:v>156689</c:v>
                </c:pt>
                <c:pt idx="99">
                  <c:v>528592</c:v>
                </c:pt>
                <c:pt idx="100">
                  <c:v>138109</c:v>
                </c:pt>
                <c:pt idx="101">
                  <c:v>180849</c:v>
                </c:pt>
                <c:pt idx="102">
                  <c:v>102707</c:v>
                </c:pt>
                <c:pt idx="103">
                  <c:v>165305</c:v>
                </c:pt>
                <c:pt idx="104">
                  <c:v>220801</c:v>
                </c:pt>
                <c:pt idx="105">
                  <c:v>978629</c:v>
                </c:pt>
                <c:pt idx="106">
                  <c:v>831044</c:v>
                </c:pt>
                <c:pt idx="107">
                  <c:v>320102</c:v>
                </c:pt>
                <c:pt idx="108">
                  <c:v>412132</c:v>
                </c:pt>
                <c:pt idx="109">
                  <c:v>696932</c:v>
                </c:pt>
                <c:pt idx="110">
                  <c:v>278835</c:v>
                </c:pt>
                <c:pt idx="111">
                  <c:v>172759</c:v>
                </c:pt>
                <c:pt idx="112">
                  <c:v>720924</c:v>
                </c:pt>
                <c:pt idx="113">
                  <c:v>372310</c:v>
                </c:pt>
                <c:pt idx="114">
                  <c:v>353760</c:v>
                </c:pt>
                <c:pt idx="115">
                  <c:v>383889</c:v>
                </c:pt>
                <c:pt idx="116">
                  <c:v>316849</c:v>
                </c:pt>
                <c:pt idx="117">
                  <c:v>289302</c:v>
                </c:pt>
                <c:pt idx="118">
                  <c:v>183063</c:v>
                </c:pt>
                <c:pt idx="119">
                  <c:v>245748</c:v>
                </c:pt>
                <c:pt idx="120">
                  <c:v>289764</c:v>
                </c:pt>
                <c:pt idx="121">
                  <c:v>160310</c:v>
                </c:pt>
                <c:pt idx="122">
                  <c:v>341554</c:v>
                </c:pt>
                <c:pt idx="123">
                  <c:v>1164636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252-4EB7-B40B-22E0C8A79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7065808"/>
        <c:axId val="967070384"/>
      </c:stockChart>
      <c:catAx>
        <c:axId val="1151735392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1734560"/>
        <c:crosses val="autoZero"/>
        <c:auto val="0"/>
        <c:lblAlgn val="ctr"/>
        <c:lblOffset val="100"/>
        <c:noMultiLvlLbl val="0"/>
      </c:catAx>
      <c:valAx>
        <c:axId val="1151734560"/>
        <c:scaling>
          <c:orientation val="minMax"/>
          <c:max val="49995.000000000007"/>
          <c:min val="19845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1735392"/>
        <c:crosses val="autoZero"/>
        <c:crossBetween val="between"/>
      </c:valAx>
      <c:valAx>
        <c:axId val="967070384"/>
        <c:scaling>
          <c:orientation val="minMax"/>
          <c:max val="3315517.5"/>
          <c:min val="0"/>
        </c:scaling>
        <c:delete val="0"/>
        <c:axPos val="r"/>
        <c:numFmt formatCode="#,##0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7065808"/>
        <c:crosses val="max"/>
        <c:crossBetween val="between"/>
      </c:valAx>
      <c:catAx>
        <c:axId val="967065808"/>
        <c:scaling>
          <c:orientation val="minMax"/>
        </c:scaling>
        <c:delete val="1"/>
        <c:axPos val="t"/>
        <c:majorTickMark val="out"/>
        <c:minorTickMark val="none"/>
        <c:tickLblPos val="nextTo"/>
        <c:crossAx val="96707038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68919417796160443"/>
          <c:y val="2.6639416617751991E-2"/>
          <c:w val="0.29428774436955529"/>
          <c:h val="5.07688664312801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chart" Target="../charts/chart1.xml"/><Relationship Id="rId7" Type="http://schemas.openxmlformats.org/officeDocument/2006/relationships/image" Target="../media/image5.png"/><Relationship Id="rId12" Type="http://schemas.openxmlformats.org/officeDocument/2006/relationships/image" Target="../media/image9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11" Type="http://schemas.openxmlformats.org/officeDocument/2006/relationships/image" Target="../media/image8.svg"/><Relationship Id="rId5" Type="http://schemas.openxmlformats.org/officeDocument/2006/relationships/image" Target="../media/image4.svg"/><Relationship Id="rId10" Type="http://schemas.openxmlformats.org/officeDocument/2006/relationships/image" Target="../media/image7.png"/><Relationship Id="rId4" Type="http://schemas.openxmlformats.org/officeDocument/2006/relationships/image" Target="../media/image3.png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146539</xdr:rowOff>
    </xdr:from>
    <xdr:to>
      <xdr:col>3</xdr:col>
      <xdr:colOff>0</xdr:colOff>
      <xdr:row>12</xdr:row>
      <xdr:rowOff>146538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CE982572-F6CC-413C-89FB-BA7DE7A70C0F}"/>
            </a:ext>
          </a:extLst>
        </xdr:cNvPr>
        <xdr:cNvGrpSpPr/>
      </xdr:nvGrpSpPr>
      <xdr:grpSpPr>
        <a:xfrm>
          <a:off x="269328" y="1933298"/>
          <a:ext cx="1859017" cy="420412"/>
          <a:chOff x="275492" y="2579077"/>
          <a:chExt cx="1905000" cy="410308"/>
        </a:xfrm>
      </xdr:grpSpPr>
      <xdr:sp macro="[0]!ArimaRUN" textlink="">
        <xdr:nvSpPr>
          <xdr:cNvPr id="3" name="사각형: 둥근 모서리 2">
            <a:extLst>
              <a:ext uri="{FF2B5EF4-FFF2-40B4-BE49-F238E27FC236}">
                <a16:creationId xmlns:a16="http://schemas.microsoft.com/office/drawing/2014/main" id="{FCAFC5AF-E769-4629-8078-0B0B7168BCA9}"/>
              </a:ext>
            </a:extLst>
          </xdr:cNvPr>
          <xdr:cNvSpPr/>
        </xdr:nvSpPr>
        <xdr:spPr>
          <a:xfrm>
            <a:off x="275492" y="2579077"/>
            <a:ext cx="1905000" cy="410308"/>
          </a:xfrm>
          <a:prstGeom prst="round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b="1"/>
              <a:t>        예측 분석 실행</a:t>
            </a:r>
          </a:p>
        </xdr:txBody>
      </xdr:sp>
      <xdr:pic macro="[0]!ArimaRUN">
        <xdr:nvPicPr>
          <xdr:cNvPr id="5" name="그래픽 4" descr="상향 추세 단색으로 채워진">
            <a:extLst>
              <a:ext uri="{FF2B5EF4-FFF2-40B4-BE49-F238E27FC236}">
                <a16:creationId xmlns:a16="http://schemas.microsoft.com/office/drawing/2014/main" id="{9B93C611-373B-4699-8CB0-421CB7EA3E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21675" y="2631831"/>
            <a:ext cx="298939" cy="29893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182943</xdr:colOff>
      <xdr:row>17</xdr:row>
      <xdr:rowOff>58042</xdr:rowOff>
    </xdr:from>
    <xdr:to>
      <xdr:col>26</xdr:col>
      <xdr:colOff>835813</xdr:colOff>
      <xdr:row>31</xdr:row>
      <xdr:rowOff>49360</xdr:rowOff>
    </xdr:to>
    <xdr:grpSp>
      <xdr:nvGrpSpPr>
        <xdr:cNvPr id="9" name="GroupForecast">
          <a:extLst>
            <a:ext uri="{FF2B5EF4-FFF2-40B4-BE49-F238E27FC236}">
              <a16:creationId xmlns:a16="http://schemas.microsoft.com/office/drawing/2014/main" id="{59926933-E659-4A88-8A2E-D0C53489268D}"/>
            </a:ext>
          </a:extLst>
        </xdr:cNvPr>
        <xdr:cNvGrpSpPr/>
      </xdr:nvGrpSpPr>
      <xdr:grpSpPr>
        <a:xfrm>
          <a:off x="6035891" y="3316249"/>
          <a:ext cx="5960594" cy="2934214"/>
          <a:chOff x="5958840" y="3121983"/>
          <a:chExt cx="6146968" cy="2869615"/>
        </a:xfrm>
      </xdr:grpSpPr>
      <xdr:graphicFrame macro="">
        <xdr:nvGraphicFramePr>
          <xdr:cNvPr id="2" name="chtForecast">
            <a:extLst>
              <a:ext uri="{FF2B5EF4-FFF2-40B4-BE49-F238E27FC236}">
                <a16:creationId xmlns:a16="http://schemas.microsoft.com/office/drawing/2014/main" id="{45B098D0-CFA6-4B17-BE31-10CF3BD7CE31}"/>
              </a:ext>
            </a:extLst>
          </xdr:cNvPr>
          <xdr:cNvGraphicFramePr/>
        </xdr:nvGraphicFramePr>
        <xdr:xfrm>
          <a:off x="5958840" y="3199228"/>
          <a:ext cx="6146968" cy="2792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$A$6">
        <xdr:nvSpPr>
          <xdr:cNvPr id="7" name="직사각형 6">
            <a:extLst>
              <a:ext uri="{FF2B5EF4-FFF2-40B4-BE49-F238E27FC236}">
                <a16:creationId xmlns:a16="http://schemas.microsoft.com/office/drawing/2014/main" id="{A147FF66-11CF-4201-9411-098DB2388FFF}"/>
              </a:ext>
            </a:extLst>
          </xdr:cNvPr>
          <xdr:cNvSpPr/>
        </xdr:nvSpPr>
        <xdr:spPr>
          <a:xfrm>
            <a:off x="5958840" y="3121983"/>
            <a:ext cx="2678724" cy="24091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99A14EB-E729-422F-8BDD-1C07011E280D}" type="TxLink">
              <a:rPr lang="ko-KR" altLang="en-US" sz="900" b="1" i="0" u="none" strike="noStrike">
                <a:solidFill>
                  <a:schemeClr val="bg1"/>
                </a:solidFill>
                <a:latin typeface="맑은 고딕"/>
                <a:ea typeface="맑은 고딕"/>
              </a:rPr>
              <a:pPr algn="ctr"/>
              <a:t>아미코젠(092040) - 향후 6일 시세 예측</a:t>
            </a:fld>
            <a:endParaRPr lang="en-US" altLang="en-US" sz="105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13</xdr:row>
      <xdr:rowOff>27524</xdr:rowOff>
    </xdr:from>
    <xdr:to>
      <xdr:col>3</xdr:col>
      <xdr:colOff>0</xdr:colOff>
      <xdr:row>15</xdr:row>
      <xdr:rowOff>27524</xdr:rowOff>
    </xdr:to>
    <xdr:grpSp>
      <xdr:nvGrpSpPr>
        <xdr:cNvPr id="17" name="그룹 16">
          <a:extLst>
            <a:ext uri="{FF2B5EF4-FFF2-40B4-BE49-F238E27FC236}">
              <a16:creationId xmlns:a16="http://schemas.microsoft.com/office/drawing/2014/main" id="{C9E61F4A-3450-4214-A3F1-40AF605FB8F6}"/>
            </a:ext>
          </a:extLst>
        </xdr:cNvPr>
        <xdr:cNvGrpSpPr/>
      </xdr:nvGrpSpPr>
      <xdr:grpSpPr>
        <a:xfrm>
          <a:off x="269328" y="2444903"/>
          <a:ext cx="1859017" cy="420414"/>
          <a:chOff x="271670" y="3081131"/>
          <a:chExt cx="1901687" cy="410817"/>
        </a:xfrm>
      </xdr:grpSpPr>
      <xdr:sp macro="[0]!SaveWB" textlink="">
        <xdr:nvSpPr>
          <xdr:cNvPr id="13" name="사각형: 둥근 모서리 12">
            <a:extLst>
              <a:ext uri="{FF2B5EF4-FFF2-40B4-BE49-F238E27FC236}">
                <a16:creationId xmlns:a16="http://schemas.microsoft.com/office/drawing/2014/main" id="{41BAF0BA-8460-43C9-BDBD-B479DDA75D94}"/>
              </a:ext>
            </a:extLst>
          </xdr:cNvPr>
          <xdr:cNvSpPr/>
        </xdr:nvSpPr>
        <xdr:spPr>
          <a:xfrm>
            <a:off x="271670" y="3081131"/>
            <a:ext cx="1901687" cy="410817"/>
          </a:xfrm>
          <a:prstGeom prst="round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b="1"/>
              <a:t>   파일로 저장</a:t>
            </a:r>
          </a:p>
        </xdr:txBody>
      </xdr:sp>
      <xdr:pic macro="[0]!SaveWB">
        <xdr:nvPicPr>
          <xdr:cNvPr id="16" name="그래픽 15" descr="다운로드 단색으로 채워진">
            <a:extLst>
              <a:ext uri="{FF2B5EF4-FFF2-40B4-BE49-F238E27FC236}">
                <a16:creationId xmlns:a16="http://schemas.microsoft.com/office/drawing/2014/main" id="{724379DC-3C33-41A9-B304-C70CD08AC7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516835" y="3127513"/>
            <a:ext cx="324678" cy="324678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195872</xdr:colOff>
      <xdr:row>31</xdr:row>
      <xdr:rowOff>203432</xdr:rowOff>
    </xdr:from>
    <xdr:to>
      <xdr:col>26</xdr:col>
      <xdr:colOff>838656</xdr:colOff>
      <xdr:row>45</xdr:row>
      <xdr:rowOff>168928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F527D3C0-2135-4695-95EA-4CB20A886CF2}"/>
            </a:ext>
          </a:extLst>
        </xdr:cNvPr>
        <xdr:cNvGrpSpPr/>
      </xdr:nvGrpSpPr>
      <xdr:grpSpPr>
        <a:xfrm>
          <a:off x="6048820" y="6404535"/>
          <a:ext cx="5950508" cy="2908393"/>
          <a:chOff x="6371505" y="6357276"/>
          <a:chExt cx="5980998" cy="2913232"/>
        </a:xfrm>
      </xdr:grpSpPr>
      <xdr:graphicFrame macro="">
        <xdr:nvGraphicFramePr>
          <xdr:cNvPr id="18" name="chtHistory">
            <a:extLst>
              <a:ext uri="{FF2B5EF4-FFF2-40B4-BE49-F238E27FC236}">
                <a16:creationId xmlns:a16="http://schemas.microsoft.com/office/drawing/2014/main" id="{FE4FB406-CD3A-4F0A-87DB-4DA06E0611F1}"/>
              </a:ext>
            </a:extLst>
          </xdr:cNvPr>
          <xdr:cNvGraphicFramePr>
            <a:graphicFrameLocks/>
          </xdr:cNvGraphicFramePr>
        </xdr:nvGraphicFramePr>
        <xdr:xfrm>
          <a:off x="6371505" y="6410085"/>
          <a:ext cx="5980998" cy="286042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$A$7">
        <xdr:nvSpPr>
          <xdr:cNvPr id="10" name="직사각형 9">
            <a:extLst>
              <a:ext uri="{FF2B5EF4-FFF2-40B4-BE49-F238E27FC236}">
                <a16:creationId xmlns:a16="http://schemas.microsoft.com/office/drawing/2014/main" id="{08869524-2DC9-4700-8D99-F9093686AE74}"/>
              </a:ext>
            </a:extLst>
          </xdr:cNvPr>
          <xdr:cNvSpPr/>
        </xdr:nvSpPr>
        <xdr:spPr>
          <a:xfrm>
            <a:off x="6371505" y="6357276"/>
            <a:ext cx="2607378" cy="244307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A168F17-2CC8-432D-8AC6-92406946CBE5}" type="TxLink">
              <a:rPr lang="ko-KR" altLang="en-US" sz="900" b="1" i="0" u="none" strike="noStrike">
                <a:solidFill>
                  <a:srgbClr val="FFFFFF"/>
                </a:solidFill>
                <a:latin typeface="맑은 고딕"/>
                <a:ea typeface="맑은 고딕"/>
              </a:rPr>
              <a:pPr algn="ctr"/>
              <a:t>아미코젠(092040) - 최근 180일 차트</a:t>
            </a:fld>
            <a:endParaRPr lang="en-US" altLang="en-US" sz="10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0</xdr:col>
      <xdr:colOff>1</xdr:colOff>
      <xdr:row>0</xdr:row>
      <xdr:rowOff>0</xdr:rowOff>
    </xdr:from>
    <xdr:to>
      <xdr:col>26</xdr:col>
      <xdr:colOff>797942</xdr:colOff>
      <xdr:row>1</xdr:row>
      <xdr:rowOff>204</xdr:rowOff>
    </xdr:to>
    <xdr:grpSp>
      <xdr:nvGrpSpPr>
        <xdr:cNvPr id="30" name="그룹 29">
          <a:extLst>
            <a:ext uri="{FF2B5EF4-FFF2-40B4-BE49-F238E27FC236}">
              <a16:creationId xmlns:a16="http://schemas.microsoft.com/office/drawing/2014/main" id="{E3CC2EA0-1D02-4858-8476-EB46B7C903DD}"/>
            </a:ext>
          </a:extLst>
        </xdr:cNvPr>
        <xdr:cNvGrpSpPr/>
      </xdr:nvGrpSpPr>
      <xdr:grpSpPr>
        <a:xfrm>
          <a:off x="1" y="0"/>
          <a:ext cx="11958613" cy="407480"/>
          <a:chOff x="1" y="0"/>
          <a:chExt cx="11925300" cy="407480"/>
        </a:xfrm>
      </xdr:grpSpPr>
      <xdr:sp macro="" textlink="">
        <xdr:nvSpPr>
          <xdr:cNvPr id="21" name="직사각형 20">
            <a:extLst>
              <a:ext uri="{FF2B5EF4-FFF2-40B4-BE49-F238E27FC236}">
                <a16:creationId xmlns:a16="http://schemas.microsoft.com/office/drawing/2014/main" id="{FA4873E2-123C-4644-81D1-9EBCDE222933}"/>
              </a:ext>
            </a:extLst>
          </xdr:cNvPr>
          <xdr:cNvSpPr/>
        </xdr:nvSpPr>
        <xdr:spPr>
          <a:xfrm>
            <a:off x="1" y="0"/>
            <a:ext cx="11925300" cy="40748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19" name="그림 18">
            <a:extLst>
              <a:ext uri="{FF2B5EF4-FFF2-40B4-BE49-F238E27FC236}">
                <a16:creationId xmlns:a16="http://schemas.microsoft.com/office/drawing/2014/main" id="{71CBD7AA-8D15-415D-BC2A-19833E5248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artisticPhotocopy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60293" y="71147"/>
            <a:ext cx="885571" cy="255985"/>
          </a:xfrm>
          <a:prstGeom prst="rect">
            <a:avLst/>
          </a:prstGeom>
        </xdr:spPr>
      </xdr:pic>
      <xdr:pic>
        <xdr:nvPicPr>
          <xdr:cNvPr id="22" name="그림 21">
            <a:extLst>
              <a:ext uri="{FF2B5EF4-FFF2-40B4-BE49-F238E27FC236}">
                <a16:creationId xmlns:a16="http://schemas.microsoft.com/office/drawing/2014/main" id="{18AA2548-B615-4BAA-8395-B29A3015BB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9983" y="60136"/>
            <a:ext cx="321469" cy="303984"/>
          </a:xfrm>
          <a:prstGeom prst="rect">
            <a:avLst/>
          </a:prstGeom>
        </xdr:spPr>
      </xdr:pic>
      <xdr:pic>
        <xdr:nvPicPr>
          <xdr:cNvPr id="24" name="그래픽 23" descr="닫기 단색으로 채워진">
            <a:extLst>
              <a:ext uri="{FF2B5EF4-FFF2-40B4-BE49-F238E27FC236}">
                <a16:creationId xmlns:a16="http://schemas.microsoft.com/office/drawing/2014/main" id="{2F56F46C-C711-4A27-97C8-0B19EFC26B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785652" y="138526"/>
            <a:ext cx="164523" cy="164523"/>
          </a:xfrm>
          <a:prstGeom prst="rect">
            <a:avLst/>
          </a:prstGeom>
        </xdr:spPr>
      </xdr:pic>
      <xdr:pic>
        <xdr:nvPicPr>
          <xdr:cNvPr id="27" name="그림 26">
            <a:extLst>
              <a:ext uri="{FF2B5EF4-FFF2-40B4-BE49-F238E27FC236}">
                <a16:creationId xmlns:a16="http://schemas.microsoft.com/office/drawing/2014/main" id="{BE5C3562-C033-4B63-B754-E117107009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06386" y="137713"/>
            <a:ext cx="2340428" cy="187676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tockHistory" displayName="StockHistory" ref="F6:O130" totalsRowShown="0" headerRowDxfId="41" dataDxfId="40">
  <autoFilter ref="F6:O130" xr:uid="{00000000-0009-0000-0100-000001000000}"/>
  <tableColumns count="10">
    <tableColumn id="1" xr3:uid="{00000000-0010-0000-0000-000001000000}" name="날짜" dataDxfId="39"/>
    <tableColumn id="2" xr3:uid="{00000000-0010-0000-0000-000002000000}" name="시가" dataDxfId="38"/>
    <tableColumn id="3" xr3:uid="{00000000-0010-0000-0000-000003000000}" name="고가" dataDxfId="37"/>
    <tableColumn id="4" xr3:uid="{00000000-0010-0000-0000-000004000000}" name="저가" dataDxfId="36"/>
    <tableColumn id="5" xr3:uid="{00000000-0010-0000-0000-000005000000}" name="종가" dataDxfId="35"/>
    <tableColumn id="6" xr3:uid="{00000000-0010-0000-0000-000006000000}" name="거래량" dataDxfId="34"/>
    <tableColumn id="7" xr3:uid="{00000000-0010-0000-0000-000007000000}" name="전일비" dataDxfId="33"/>
    <tableColumn id="8" xr3:uid="{00000000-0010-0000-0000-000008000000}" name="5일선" dataDxfId="32"/>
    <tableColumn id="9" xr3:uid="{00000000-0010-0000-0000-000009000000}" name="20일선" dataDxfId="31"/>
    <tableColumn id="10" xr3:uid="{00000000-0010-0000-0000-00000A000000}" name="60일선" dataDxfId="30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ampleForecast" displayName="SampleForecast" ref="Q6:T12" totalsRowShown="0">
  <autoFilter ref="Q6:T12" xr:uid="{00000000-0009-0000-0100-000002000000}"/>
  <tableColumns count="4">
    <tableColumn id="1" xr3:uid="{00000000-0010-0000-0100-000001000000}" name="날짜" dataDxfId="29"/>
    <tableColumn id="2" xr3:uid="{00000000-0010-0000-0100-000002000000}" name="실제값" dataDxfId="28"/>
    <tableColumn id="3" xr3:uid="{00000000-0010-0000-0100-000003000000}" name="예측값" dataDxfId="27"/>
    <tableColumn id="4" xr3:uid="{00000000-0010-0000-0100-000004000000}" name="MAPE" dataDxfId="26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ActualForecast" displayName="ActualForecast" ref="W6:AA12" totalsRowShown="0" headerRowDxfId="25">
  <autoFilter ref="W6:AA12" xr:uid="{00000000-0009-0000-0100-000003000000}"/>
  <tableColumns count="5">
    <tableColumn id="1" xr3:uid="{00000000-0010-0000-0200-000001000000}" name="날짜" dataDxfId="24"/>
    <tableColumn id="2" xr3:uid="{00000000-0010-0000-0200-000002000000}" name="예측값" dataDxfId="23"/>
    <tableColumn id="3" xr3:uid="{00000000-0010-0000-0200-000003000000}" name="HIGH" dataDxfId="22"/>
    <tableColumn id="4" xr3:uid="{00000000-0010-0000-0200-000004000000}" name="LOW" dataDxfId="21"/>
    <tableColumn id="5" xr3:uid="{00000000-0010-0000-0200-000005000000}" name="전일비" dataDxfId="20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ChartTable" displayName="ChartTable" ref="AC6:AI37" totalsRowShown="0" headerRowDxfId="19" dataDxfId="18">
  <autoFilter ref="AC6:AI37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300-000001000000}" name="날짜" dataDxfId="17"/>
    <tableColumn id="2" xr3:uid="{00000000-0010-0000-0300-000002000000}" name="실제값" dataDxfId="16"/>
    <tableColumn id="3" xr3:uid="{00000000-0010-0000-0300-000003000000}" name="예측값" dataDxfId="15"/>
    <tableColumn id="4" xr3:uid="{00000000-0010-0000-0300-000004000000}" name="HIGH" dataDxfId="14"/>
    <tableColumn id="5" xr3:uid="{00000000-0010-0000-0300-000005000000}" name="LOW" dataDxfId="13"/>
    <tableColumn id="6" xr3:uid="{00000000-0010-0000-0300-000006000000}" name="AvgHigh" dataDxfId="12"/>
    <tableColumn id="7" xr3:uid="{00000000-0010-0000-0300-000007000000}" name="AvgLow" dataDxfId="11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SearchHistory" displayName="SearchHistory" ref="B2:I6" totalsRowShown="0" headerRowDxfId="10" dataDxfId="9">
  <autoFilter ref="B2:I6" xr:uid="{00000000-0009-0000-0100-000005000000}"/>
  <tableColumns count="8">
    <tableColumn id="1" xr3:uid="{00000000-0010-0000-0400-000001000000}" name="종목번호" dataDxfId="8"/>
    <tableColumn id="2" xr3:uid="{00000000-0010-0000-0400-000002000000}" name="종목명" dataDxfId="7"/>
    <tableColumn id="3" xr3:uid="{00000000-0010-0000-0400-000003000000}" name="기준일" dataDxfId="6"/>
    <tableColumn id="4" xr3:uid="{00000000-0010-0000-0400-000004000000}" name="종가" dataDxfId="5"/>
    <tableColumn id="8" xr3:uid="{00000000-0010-0000-0400-000008000000}" name="조회기간" dataDxfId="4"/>
    <tableColumn id="5" xr3:uid="{00000000-0010-0000-0400-000005000000}" name="예측기간" dataDxfId="3"/>
    <tableColumn id="6" xr3:uid="{00000000-0010-0000-0400-000006000000}" name="평균증감" dataDxfId="2"/>
    <tableColumn id="7" xr3:uid="{00000000-0010-0000-0400-000007000000}" name="증감율" dataDxfId="1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hyperlink" Target="https://ussouthcentral.services.azureml.net/workspaces/4327b16670cc485ba2edfc4201fd68e3/services/87462fe4be2f499d927074b650995ace/execute?api-version=2.0&amp;details=true" TargetMode="External"/><Relationship Id="rId7" Type="http://schemas.openxmlformats.org/officeDocument/2006/relationships/table" Target="../tables/table2.xml"/><Relationship Id="rId2" Type="http://schemas.openxmlformats.org/officeDocument/2006/relationships/hyperlink" Target="https://www.ktb.co.kr/trading/popup/itemPop.jspx" TargetMode="External"/><Relationship Id="rId1" Type="http://schemas.openxmlformats.org/officeDocument/2006/relationships/hyperlink" Target="https://finance.naver.com/" TargetMode="External"/><Relationship Id="rId6" Type="http://schemas.openxmlformats.org/officeDocument/2006/relationships/table" Target="../tables/table1.x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30"/>
  <sheetViews>
    <sheetView showGridLines="0" tabSelected="1" zoomScale="145" zoomScaleNormal="145" workbookViewId="0">
      <pane xSplit="5" topLeftCell="F1" activePane="topRight" state="frozen"/>
      <selection pane="topRight" activeCell="C9" sqref="C9"/>
    </sheetView>
  </sheetViews>
  <sheetFormatPr defaultRowHeight="16.5" customHeight="1" outlineLevelCol="1" x14ac:dyDescent="0.25"/>
  <cols>
    <col min="1" max="1" width="4" style="52" customWidth="1"/>
    <col min="2" max="2" width="12.140625" style="4" customWidth="1"/>
    <col min="3" max="3" width="15.7109375" customWidth="1"/>
    <col min="4" max="4" width="4.140625" hidden="1" customWidth="1"/>
    <col min="5" max="5" width="2.140625" customWidth="1"/>
    <col min="6" max="6" width="16.85546875" style="59" customWidth="1"/>
    <col min="7" max="9" width="0.140625" style="15" customWidth="1"/>
    <col min="10" max="10" width="12" style="15" customWidth="1"/>
    <col min="11" max="11" width="11.85546875" style="15" customWidth="1"/>
    <col min="12" max="12" width="12.42578125" style="19" customWidth="1"/>
    <col min="13" max="15" width="0.140625" style="19" customWidth="1"/>
    <col min="16" max="16" width="3" customWidth="1"/>
    <col min="17" max="17" width="12.7109375" style="4" customWidth="1"/>
    <col min="18" max="19" width="11.42578125" style="12" customWidth="1"/>
    <col min="20" max="20" width="11.42578125" style="18" customWidth="1"/>
    <col min="21" max="22" width="2.7109375" customWidth="1"/>
    <col min="23" max="23" width="12.7109375" style="4" customWidth="1"/>
    <col min="24" max="24" width="11.42578125" style="12" customWidth="1"/>
    <col min="25" max="26" width="11.42578125" style="15" hidden="1" customWidth="1" outlineLevel="1"/>
    <col min="27" max="27" width="12.5703125" style="28" customWidth="1" collapsed="1"/>
    <col min="28" max="28" width="9.28515625" style="31" customWidth="1"/>
    <col min="29" max="29" width="0.140625" style="33" customWidth="1"/>
    <col min="30" max="33" width="0.140625" style="34" customWidth="1"/>
    <col min="34" max="34" width="0.140625" style="31" customWidth="1"/>
    <col min="35" max="35" width="0.140625" customWidth="1"/>
    <col min="36" max="36" width="9.28515625" customWidth="1"/>
  </cols>
  <sheetData>
    <row r="1" spans="1:36" ht="32.450000000000003" customHeight="1" x14ac:dyDescent="0.25"/>
    <row r="2" spans="1:36" ht="6" customHeight="1" x14ac:dyDescent="0.25"/>
    <row r="3" spans="1:36" ht="1.9" customHeight="1" x14ac:dyDescent="0.25"/>
    <row r="4" spans="1:36" ht="1.9" customHeight="1" x14ac:dyDescent="0.25"/>
    <row r="5" spans="1:36" s="24" customFormat="1" ht="16.5" customHeight="1" x14ac:dyDescent="0.25">
      <c r="A5" s="53"/>
      <c r="B5" s="9"/>
      <c r="F5" s="10"/>
      <c r="G5" s="25"/>
      <c r="H5" s="25"/>
      <c r="I5" s="25"/>
      <c r="J5" s="25"/>
      <c r="K5" s="25"/>
      <c r="L5" s="26"/>
      <c r="M5" s="26"/>
      <c r="N5" s="26"/>
      <c r="O5" s="26"/>
      <c r="Q5" s="9"/>
      <c r="R5" s="27"/>
      <c r="S5" s="22" t="s">
        <v>16</v>
      </c>
      <c r="T5" s="23">
        <f>AVERAGE(SampleForecast[MAPE])</f>
        <v>2.9581273926440544E-2</v>
      </c>
      <c r="W5" s="9"/>
      <c r="X5" s="60" t="s">
        <v>23</v>
      </c>
      <c r="Y5" s="61"/>
      <c r="Z5" s="62"/>
      <c r="AA5" s="29">
        <f>AVERAGE(ActualForecast[전일비])</f>
        <v>93.089430894317047</v>
      </c>
      <c r="AB5" s="30"/>
      <c r="AC5" s="33"/>
      <c r="AD5" s="34"/>
      <c r="AE5" s="34"/>
      <c r="AF5" s="34"/>
      <c r="AG5" s="34"/>
      <c r="AH5" s="30"/>
    </row>
    <row r="6" spans="1:36" ht="16.5" customHeight="1" x14ac:dyDescent="0.25">
      <c r="A6" s="52" t="str">
        <f>StockName&amp;"("&amp;StockNo&amp;") - 향후 "&amp;ForecastTerm&amp;"일 시세 예측"</f>
        <v>아미코젠(092040) - 향후 6일 시세 예측</v>
      </c>
      <c r="B6" s="5" t="s">
        <v>0</v>
      </c>
      <c r="C6" s="1" t="s">
        <v>49</v>
      </c>
      <c r="D6" s="8"/>
      <c r="F6" s="13" t="s">
        <v>5</v>
      </c>
      <c r="G6" s="16" t="s">
        <v>6</v>
      </c>
      <c r="H6" s="16" t="s">
        <v>7</v>
      </c>
      <c r="I6" s="16" t="s">
        <v>8</v>
      </c>
      <c r="J6" s="16" t="s">
        <v>9</v>
      </c>
      <c r="K6" s="16" t="s">
        <v>10</v>
      </c>
      <c r="L6" s="20" t="s">
        <v>11</v>
      </c>
      <c r="M6" s="20" t="s">
        <v>25</v>
      </c>
      <c r="N6" s="20" t="s">
        <v>26</v>
      </c>
      <c r="O6" s="20" t="s">
        <v>27</v>
      </c>
      <c r="Q6" s="13" t="s">
        <v>5</v>
      </c>
      <c r="R6" s="16" t="s">
        <v>15</v>
      </c>
      <c r="S6" s="16" t="s">
        <v>12</v>
      </c>
      <c r="T6" s="17" t="s">
        <v>16</v>
      </c>
      <c r="W6" s="13" t="s">
        <v>5</v>
      </c>
      <c r="X6" s="16" t="s">
        <v>12</v>
      </c>
      <c r="Y6" s="16" t="s">
        <v>18</v>
      </c>
      <c r="Z6" s="16" t="s">
        <v>20</v>
      </c>
      <c r="AA6" s="20" t="s">
        <v>22</v>
      </c>
      <c r="AB6" s="37"/>
      <c r="AC6" s="38" t="s">
        <v>5</v>
      </c>
      <c r="AD6" s="39" t="s">
        <v>24</v>
      </c>
      <c r="AE6" s="39" t="s">
        <v>21</v>
      </c>
      <c r="AF6" s="39" t="s">
        <v>17</v>
      </c>
      <c r="AG6" s="39" t="s">
        <v>19</v>
      </c>
      <c r="AH6" s="58" t="s">
        <v>37</v>
      </c>
      <c r="AI6" s="58" t="s">
        <v>38</v>
      </c>
      <c r="AJ6" s="37"/>
    </row>
    <row r="7" spans="1:36" ht="16.5" customHeight="1" x14ac:dyDescent="0.25">
      <c r="A7" s="52" t="str">
        <f>StockName&amp;"("&amp;StockNo&amp;") - 최근 "&amp;SearchTerm&amp;"일 차트"</f>
        <v>아미코젠(092040) - 최근 180일 차트</v>
      </c>
      <c r="B7" s="6" t="s">
        <v>1</v>
      </c>
      <c r="C7" s="2" t="s">
        <v>47</v>
      </c>
      <c r="D7" s="9"/>
      <c r="F7" s="59">
        <v>44211</v>
      </c>
      <c r="G7" s="15">
        <v>35250</v>
      </c>
      <c r="H7" s="15">
        <v>35300</v>
      </c>
      <c r="I7" s="15">
        <v>33950</v>
      </c>
      <c r="J7" s="15">
        <v>34000</v>
      </c>
      <c r="K7" s="15">
        <v>209223</v>
      </c>
      <c r="L7" s="21">
        <v>-1250</v>
      </c>
      <c r="M7" s="32"/>
      <c r="N7" s="32"/>
      <c r="O7" s="32"/>
      <c r="Q7" s="14">
        <v>44384</v>
      </c>
      <c r="R7" s="12">
        <v>41000</v>
      </c>
      <c r="S7" s="12">
        <v>41614.529914529499</v>
      </c>
      <c r="T7" s="18">
        <v>1.4988534500719497E-2</v>
      </c>
      <c r="W7" s="59">
        <v>44392</v>
      </c>
      <c r="X7" s="12">
        <v>45543.089430894302</v>
      </c>
      <c r="Y7" s="15">
        <v>46225.713598098613</v>
      </c>
      <c r="Z7" s="15">
        <v>44860.465263689992</v>
      </c>
      <c r="AA7" s="28">
        <v>93.089430894302495</v>
      </c>
      <c r="AC7" s="35">
        <v>44357</v>
      </c>
      <c r="AD7" s="36">
        <v>37000</v>
      </c>
      <c r="AE7" s="36"/>
      <c r="AF7" s="36"/>
      <c r="AG7" s="36"/>
      <c r="AH7" s="57"/>
      <c r="AI7" s="57"/>
    </row>
    <row r="8" spans="1:36" ht="16.5" customHeight="1" x14ac:dyDescent="0.25">
      <c r="B8" s="6" t="s">
        <v>2</v>
      </c>
      <c r="C8" s="3">
        <f ca="1">TODAY()</f>
        <v>44391</v>
      </c>
      <c r="D8" s="10"/>
      <c r="F8" s="59">
        <v>44214</v>
      </c>
      <c r="G8" s="15">
        <v>33800</v>
      </c>
      <c r="H8" s="15">
        <v>33850</v>
      </c>
      <c r="I8" s="15">
        <v>32600</v>
      </c>
      <c r="J8" s="15">
        <v>32950</v>
      </c>
      <c r="K8" s="15">
        <v>247795</v>
      </c>
      <c r="L8" s="21">
        <v>-1050</v>
      </c>
      <c r="M8" s="15"/>
      <c r="N8" s="15"/>
      <c r="O8" s="15"/>
      <c r="Q8" s="59">
        <v>44385</v>
      </c>
      <c r="R8" s="12">
        <v>40950</v>
      </c>
      <c r="S8" s="12">
        <v>41679.059829058999</v>
      </c>
      <c r="T8" s="18">
        <v>1.7803658829279579E-2</v>
      </c>
      <c r="W8" s="59">
        <v>44393</v>
      </c>
      <c r="X8" s="12">
        <v>45636.178861788598</v>
      </c>
      <c r="Y8" s="15">
        <v>46448.669820515861</v>
      </c>
      <c r="Z8" s="15">
        <v>44823.687903061335</v>
      </c>
      <c r="AA8" s="28">
        <v>93.089430894295219</v>
      </c>
      <c r="AC8" s="35">
        <v>44358</v>
      </c>
      <c r="AD8" s="36">
        <v>36900</v>
      </c>
      <c r="AE8" s="36"/>
      <c r="AF8" s="36"/>
      <c r="AG8" s="36"/>
      <c r="AH8" s="57"/>
      <c r="AI8" s="57"/>
    </row>
    <row r="9" spans="1:36" ht="16.5" customHeight="1" x14ac:dyDescent="0.25">
      <c r="B9" s="6" t="s">
        <v>3</v>
      </c>
      <c r="C9" s="2">
        <v>180</v>
      </c>
      <c r="D9" s="9"/>
      <c r="F9" s="59">
        <v>44215</v>
      </c>
      <c r="G9" s="15">
        <v>33000</v>
      </c>
      <c r="H9" s="15">
        <v>33800</v>
      </c>
      <c r="I9" s="15">
        <v>32400</v>
      </c>
      <c r="J9" s="15">
        <v>33450</v>
      </c>
      <c r="K9" s="15">
        <v>169346</v>
      </c>
      <c r="L9" s="21">
        <v>500</v>
      </c>
      <c r="M9" s="15"/>
      <c r="N9" s="15"/>
      <c r="O9" s="15"/>
      <c r="Q9" s="59">
        <v>44386</v>
      </c>
      <c r="R9" s="12">
        <v>40250</v>
      </c>
      <c r="S9" s="12">
        <v>41743.589743588498</v>
      </c>
      <c r="T9" s="18">
        <v>3.7107819716484428E-2</v>
      </c>
      <c r="W9" s="59">
        <v>44396</v>
      </c>
      <c r="X9" s="12">
        <v>45729.2682926829</v>
      </c>
      <c r="Y9" s="15">
        <v>47426.181736254526</v>
      </c>
      <c r="Z9" s="15">
        <v>44032.354849111274</v>
      </c>
      <c r="AA9" s="28">
        <v>93.089430894302495</v>
      </c>
      <c r="AC9" s="35">
        <v>44361</v>
      </c>
      <c r="AD9" s="36">
        <v>36950</v>
      </c>
      <c r="AE9" s="36"/>
      <c r="AF9" s="36"/>
      <c r="AG9" s="36"/>
      <c r="AH9" s="57"/>
      <c r="AI9" s="57"/>
    </row>
    <row r="10" spans="1:36" ht="16.5" customHeight="1" x14ac:dyDescent="0.25">
      <c r="B10" s="6" t="s">
        <v>4</v>
      </c>
      <c r="C10" s="2">
        <f>MIN(ROUND(SearchTerm/30,0),10)</f>
        <v>6</v>
      </c>
      <c r="D10" s="9"/>
      <c r="F10" s="59">
        <v>44216</v>
      </c>
      <c r="G10" s="15">
        <v>33600</v>
      </c>
      <c r="H10" s="15">
        <v>34300</v>
      </c>
      <c r="I10" s="15">
        <v>33100</v>
      </c>
      <c r="J10" s="15">
        <v>34300</v>
      </c>
      <c r="K10" s="15">
        <v>175455</v>
      </c>
      <c r="L10" s="21">
        <v>850</v>
      </c>
      <c r="M10" s="15"/>
      <c r="N10" s="15"/>
      <c r="O10" s="15"/>
      <c r="Q10" s="59">
        <v>44389</v>
      </c>
      <c r="R10" s="12">
        <v>40600</v>
      </c>
      <c r="S10" s="12">
        <v>41808.119658117997</v>
      </c>
      <c r="T10" s="18">
        <v>2.9756641825566438E-2</v>
      </c>
      <c r="W10" s="59">
        <v>44397</v>
      </c>
      <c r="X10" s="12">
        <v>45822.357723577203</v>
      </c>
      <c r="Y10" s="15">
        <v>47185.877209960665</v>
      </c>
      <c r="Z10" s="15">
        <v>44458.83823719374</v>
      </c>
      <c r="AA10" s="28">
        <v>93.089430894302495</v>
      </c>
      <c r="AC10" s="35">
        <v>44362</v>
      </c>
      <c r="AD10" s="36">
        <v>36750</v>
      </c>
      <c r="AE10" s="36"/>
      <c r="AF10" s="36"/>
      <c r="AG10" s="36"/>
      <c r="AH10" s="57"/>
      <c r="AI10" s="57"/>
    </row>
    <row r="11" spans="1:36" ht="16.5" customHeight="1" x14ac:dyDescent="0.25">
      <c r="F11" s="59">
        <v>44217</v>
      </c>
      <c r="G11" s="15">
        <v>34750</v>
      </c>
      <c r="H11" s="15">
        <v>34750</v>
      </c>
      <c r="I11" s="15">
        <v>33800</v>
      </c>
      <c r="J11" s="15">
        <v>33800</v>
      </c>
      <c r="K11" s="15">
        <v>142668</v>
      </c>
      <c r="L11" s="21">
        <v>-500</v>
      </c>
      <c r="M11" s="15"/>
      <c r="N11" s="15"/>
      <c r="O11" s="15"/>
      <c r="Q11" s="59">
        <v>44390</v>
      </c>
      <c r="R11" s="12">
        <v>41850</v>
      </c>
      <c r="S11" s="12">
        <v>41872.649572647497</v>
      </c>
      <c r="T11" s="18">
        <v>5.4120842646348448E-4</v>
      </c>
      <c r="W11" s="59">
        <v>44398</v>
      </c>
      <c r="X11" s="12">
        <v>45915.447154471498</v>
      </c>
      <c r="Y11" s="15">
        <v>45940.296981376334</v>
      </c>
      <c r="Z11" s="15">
        <v>45890.597327566662</v>
      </c>
      <c r="AA11" s="28">
        <v>93.089430894295219</v>
      </c>
      <c r="AC11" s="35">
        <v>44363</v>
      </c>
      <c r="AD11" s="36">
        <v>37500</v>
      </c>
      <c r="AE11" s="36"/>
      <c r="AF11" s="36"/>
      <c r="AG11" s="36"/>
      <c r="AH11" s="57"/>
      <c r="AI11" s="57"/>
    </row>
    <row r="12" spans="1:36" ht="16.5" customHeight="1" x14ac:dyDescent="0.25">
      <c r="F12" s="59">
        <v>44218</v>
      </c>
      <c r="G12" s="15">
        <v>33700</v>
      </c>
      <c r="H12" s="15">
        <v>33750</v>
      </c>
      <c r="I12" s="15">
        <v>32900</v>
      </c>
      <c r="J12" s="15">
        <v>33000</v>
      </c>
      <c r="K12" s="15">
        <v>194487</v>
      </c>
      <c r="L12" s="21">
        <v>-800</v>
      </c>
      <c r="M12" s="15">
        <v>33700</v>
      </c>
      <c r="N12" s="15"/>
      <c r="O12" s="15"/>
      <c r="Q12" s="59">
        <v>44391</v>
      </c>
      <c r="R12" s="12">
        <v>45450</v>
      </c>
      <c r="S12" s="12">
        <v>41937.179487177098</v>
      </c>
      <c r="T12" s="18">
        <v>7.7289780260129851E-2</v>
      </c>
      <c r="W12" s="59">
        <v>44399</v>
      </c>
      <c r="X12" s="12">
        <v>46008.536585365902</v>
      </c>
      <c r="Y12" s="15">
        <v>49564.52626813898</v>
      </c>
      <c r="Z12" s="15">
        <v>42452.546902592825</v>
      </c>
      <c r="AA12" s="28">
        <v>93.089430894404359</v>
      </c>
      <c r="AC12" s="35">
        <v>44364</v>
      </c>
      <c r="AD12" s="36">
        <v>37850</v>
      </c>
      <c r="AE12" s="36"/>
      <c r="AF12" s="36"/>
      <c r="AG12" s="36"/>
      <c r="AH12" s="57"/>
      <c r="AI12" s="57"/>
    </row>
    <row r="13" spans="1:36" ht="16.5" customHeight="1" x14ac:dyDescent="0.25">
      <c r="F13" s="59">
        <v>44221</v>
      </c>
      <c r="G13" s="15">
        <v>32950</v>
      </c>
      <c r="H13" s="15">
        <v>34900</v>
      </c>
      <c r="I13" s="15">
        <v>32850</v>
      </c>
      <c r="J13" s="15">
        <v>34800</v>
      </c>
      <c r="K13" s="15">
        <v>233934</v>
      </c>
      <c r="L13" s="21">
        <v>1800</v>
      </c>
      <c r="M13" s="15">
        <v>33500</v>
      </c>
      <c r="N13" s="15"/>
      <c r="O13" s="15"/>
      <c r="AC13" s="35">
        <v>44365</v>
      </c>
      <c r="AD13" s="36">
        <v>40650</v>
      </c>
      <c r="AE13" s="36"/>
      <c r="AF13" s="36"/>
      <c r="AG13" s="36"/>
      <c r="AH13" s="57"/>
      <c r="AI13" s="57"/>
    </row>
    <row r="14" spans="1:36" ht="16.5" customHeight="1" x14ac:dyDescent="0.25">
      <c r="F14" s="59">
        <v>44222</v>
      </c>
      <c r="G14" s="15">
        <v>34900</v>
      </c>
      <c r="H14" s="15">
        <v>36500</v>
      </c>
      <c r="I14" s="15">
        <v>33500</v>
      </c>
      <c r="J14" s="15">
        <v>34100</v>
      </c>
      <c r="K14" s="15">
        <v>504588</v>
      </c>
      <c r="L14" s="21">
        <v>-700</v>
      </c>
      <c r="M14" s="15">
        <v>33870</v>
      </c>
      <c r="N14" s="15"/>
      <c r="O14" s="15"/>
      <c r="AC14" s="35">
        <v>44368</v>
      </c>
      <c r="AD14" s="36">
        <v>41600</v>
      </c>
      <c r="AE14" s="36"/>
      <c r="AF14" s="36"/>
      <c r="AG14" s="36"/>
      <c r="AH14" s="57"/>
      <c r="AI14" s="57"/>
    </row>
    <row r="15" spans="1:36" ht="16.5" customHeight="1" x14ac:dyDescent="0.25">
      <c r="F15" s="59">
        <v>44223</v>
      </c>
      <c r="G15" s="15">
        <v>34500</v>
      </c>
      <c r="H15" s="15">
        <v>34850</v>
      </c>
      <c r="I15" s="15">
        <v>33200</v>
      </c>
      <c r="J15" s="15">
        <v>33500</v>
      </c>
      <c r="K15" s="15">
        <v>157592</v>
      </c>
      <c r="L15" s="21">
        <v>-600</v>
      </c>
      <c r="M15" s="15">
        <v>34000</v>
      </c>
      <c r="N15" s="15"/>
      <c r="O15" s="15"/>
      <c r="AC15" s="35">
        <v>44369</v>
      </c>
      <c r="AD15" s="36">
        <v>41650</v>
      </c>
      <c r="AE15" s="36"/>
      <c r="AF15" s="36"/>
      <c r="AG15" s="36"/>
      <c r="AH15" s="57"/>
      <c r="AI15" s="57"/>
    </row>
    <row r="16" spans="1:36" ht="16.5" customHeight="1" x14ac:dyDescent="0.25">
      <c r="F16" s="59">
        <v>44224</v>
      </c>
      <c r="G16" s="15">
        <v>33000</v>
      </c>
      <c r="H16" s="15">
        <v>33600</v>
      </c>
      <c r="I16" s="15">
        <v>32350</v>
      </c>
      <c r="J16" s="15">
        <v>33000</v>
      </c>
      <c r="K16" s="15">
        <v>150535</v>
      </c>
      <c r="L16" s="21">
        <v>-500</v>
      </c>
      <c r="M16" s="15">
        <v>33840</v>
      </c>
      <c r="N16" s="15"/>
      <c r="O16" s="15"/>
      <c r="AC16" s="35">
        <v>44370</v>
      </c>
      <c r="AD16" s="36">
        <v>41600</v>
      </c>
      <c r="AE16" s="36"/>
      <c r="AF16" s="36"/>
      <c r="AG16" s="36"/>
      <c r="AH16" s="57"/>
      <c r="AI16" s="57"/>
    </row>
    <row r="17" spans="2:35" ht="16.5" customHeight="1" x14ac:dyDescent="0.25">
      <c r="B17" s="64" t="s">
        <v>33</v>
      </c>
      <c r="C17" s="63" t="str" cm="1">
        <f t="array" aca="1" ref="C17" ca="1">LEFT(CELL("filename",A1),FIND("\[",CELL("filename",A1)))</f>
        <v>C:\greatbps\</v>
      </c>
      <c r="F17" s="59">
        <v>44225</v>
      </c>
      <c r="G17" s="15">
        <v>33100</v>
      </c>
      <c r="H17" s="15">
        <v>33650</v>
      </c>
      <c r="I17" s="15">
        <v>31750</v>
      </c>
      <c r="J17" s="15">
        <v>31950</v>
      </c>
      <c r="K17" s="15">
        <v>214663</v>
      </c>
      <c r="L17" s="21">
        <v>-1050</v>
      </c>
      <c r="M17" s="15">
        <v>33680</v>
      </c>
      <c r="N17" s="15"/>
      <c r="O17" s="15"/>
      <c r="AC17" s="35">
        <v>44371</v>
      </c>
      <c r="AD17" s="36">
        <v>40700</v>
      </c>
      <c r="AE17" s="36"/>
      <c r="AF17" s="36"/>
      <c r="AG17" s="36"/>
      <c r="AH17" s="57"/>
      <c r="AI17" s="57"/>
    </row>
    <row r="18" spans="2:35" ht="16.5" customHeight="1" x14ac:dyDescent="0.25">
      <c r="B18" s="65"/>
      <c r="C18" s="63"/>
      <c r="F18" s="59">
        <v>44228</v>
      </c>
      <c r="G18" s="15">
        <v>31600</v>
      </c>
      <c r="H18" s="15">
        <v>32850</v>
      </c>
      <c r="I18" s="15">
        <v>31100</v>
      </c>
      <c r="J18" s="15">
        <v>32800</v>
      </c>
      <c r="K18" s="15">
        <v>133376</v>
      </c>
      <c r="L18" s="21">
        <v>850</v>
      </c>
      <c r="M18" s="15">
        <v>33470</v>
      </c>
      <c r="N18" s="15"/>
      <c r="O18" s="15"/>
      <c r="AC18" s="35">
        <v>44372</v>
      </c>
      <c r="AD18" s="36">
        <v>41000</v>
      </c>
      <c r="AE18" s="36"/>
      <c r="AF18" s="36"/>
      <c r="AG18" s="36"/>
      <c r="AH18" s="57"/>
      <c r="AI18" s="57"/>
    </row>
    <row r="19" spans="2:35" ht="16.5" customHeight="1" x14ac:dyDescent="0.25">
      <c r="B19" s="65"/>
      <c r="C19" s="63"/>
      <c r="F19" s="59">
        <v>44229</v>
      </c>
      <c r="G19" s="15">
        <v>32800</v>
      </c>
      <c r="H19" s="15">
        <v>33750</v>
      </c>
      <c r="I19" s="15">
        <v>32400</v>
      </c>
      <c r="J19" s="15">
        <v>32900</v>
      </c>
      <c r="K19" s="15">
        <v>101596</v>
      </c>
      <c r="L19" s="21">
        <v>100</v>
      </c>
      <c r="M19" s="15">
        <v>33070</v>
      </c>
      <c r="N19" s="15"/>
      <c r="O19" s="15"/>
      <c r="AC19" s="35">
        <v>44375</v>
      </c>
      <c r="AD19" s="36">
        <v>41200</v>
      </c>
      <c r="AE19" s="36"/>
      <c r="AF19" s="36"/>
      <c r="AG19" s="36"/>
      <c r="AH19" s="57"/>
      <c r="AI19" s="57"/>
    </row>
    <row r="20" spans="2:35" ht="16.5" customHeight="1" x14ac:dyDescent="0.25">
      <c r="B20" s="65"/>
      <c r="C20" s="63"/>
      <c r="F20" s="59">
        <v>44230</v>
      </c>
      <c r="G20" s="15">
        <v>32950</v>
      </c>
      <c r="H20" s="15">
        <v>33250</v>
      </c>
      <c r="I20" s="15">
        <v>32200</v>
      </c>
      <c r="J20" s="15">
        <v>32800</v>
      </c>
      <c r="K20" s="15">
        <v>163210</v>
      </c>
      <c r="L20" s="21">
        <v>-100</v>
      </c>
      <c r="M20" s="15">
        <v>32830</v>
      </c>
      <c r="N20" s="15"/>
      <c r="O20" s="15"/>
      <c r="AC20" s="35">
        <v>44376</v>
      </c>
      <c r="AD20" s="36">
        <v>43900</v>
      </c>
      <c r="AE20" s="36"/>
      <c r="AF20" s="36"/>
      <c r="AG20" s="36"/>
      <c r="AH20" s="57"/>
      <c r="AI20" s="57"/>
    </row>
    <row r="21" spans="2:35" ht="16.5" customHeight="1" x14ac:dyDescent="0.25">
      <c r="B21" s="66"/>
      <c r="C21" s="63"/>
      <c r="F21" s="59">
        <v>44231</v>
      </c>
      <c r="G21" s="15">
        <v>32750</v>
      </c>
      <c r="H21" s="15">
        <v>32750</v>
      </c>
      <c r="I21" s="15">
        <v>32000</v>
      </c>
      <c r="J21" s="15">
        <v>32100</v>
      </c>
      <c r="K21" s="15">
        <v>150466</v>
      </c>
      <c r="L21" s="21">
        <v>-700</v>
      </c>
      <c r="M21" s="15">
        <v>32690</v>
      </c>
      <c r="N21" s="15"/>
      <c r="O21" s="15"/>
      <c r="AC21" s="35">
        <v>44377</v>
      </c>
      <c r="AD21" s="36">
        <v>43950</v>
      </c>
      <c r="AE21" s="36"/>
      <c r="AF21" s="36"/>
      <c r="AG21" s="36"/>
      <c r="AH21" s="57"/>
      <c r="AI21" s="57"/>
    </row>
    <row r="22" spans="2:35" ht="16.5" customHeight="1" x14ac:dyDescent="0.25">
      <c r="F22" s="59">
        <v>44232</v>
      </c>
      <c r="G22" s="15">
        <v>32100</v>
      </c>
      <c r="H22" s="15">
        <v>32400</v>
      </c>
      <c r="I22" s="15">
        <v>31950</v>
      </c>
      <c r="J22" s="15">
        <v>32350</v>
      </c>
      <c r="K22" s="15">
        <v>83785</v>
      </c>
      <c r="L22" s="21">
        <v>250</v>
      </c>
      <c r="M22" s="15">
        <v>32510</v>
      </c>
      <c r="N22" s="15"/>
      <c r="O22" s="15"/>
      <c r="AC22" s="35">
        <v>44378</v>
      </c>
      <c r="AD22" s="36">
        <v>42600</v>
      </c>
      <c r="AE22" s="36"/>
      <c r="AF22" s="36"/>
      <c r="AG22" s="36"/>
      <c r="AH22" s="57"/>
      <c r="AI22" s="57"/>
    </row>
    <row r="23" spans="2:35" ht="16.5" customHeight="1" x14ac:dyDescent="0.25">
      <c r="B23" s="7" t="s">
        <v>13</v>
      </c>
      <c r="C23" s="74" t="s">
        <v>44</v>
      </c>
      <c r="F23" s="59">
        <v>44235</v>
      </c>
      <c r="G23" s="15">
        <v>32350</v>
      </c>
      <c r="H23" s="15">
        <v>32350</v>
      </c>
      <c r="I23" s="15">
        <v>31700</v>
      </c>
      <c r="J23" s="15">
        <v>31700</v>
      </c>
      <c r="K23" s="15">
        <v>99249</v>
      </c>
      <c r="L23" s="21">
        <v>-650</v>
      </c>
      <c r="M23" s="15">
        <v>32590</v>
      </c>
      <c r="N23" s="15"/>
      <c r="O23" s="15"/>
      <c r="AC23" s="35">
        <v>44379</v>
      </c>
      <c r="AD23" s="36">
        <v>42550</v>
      </c>
      <c r="AE23" s="36"/>
      <c r="AF23" s="36"/>
      <c r="AG23" s="36"/>
      <c r="AH23" s="57"/>
      <c r="AI23" s="57"/>
    </row>
    <row r="24" spans="2:35" ht="16.5" customHeight="1" x14ac:dyDescent="0.25">
      <c r="B24" s="11" t="s">
        <v>14</v>
      </c>
      <c r="C24" s="56" t="s">
        <v>45</v>
      </c>
      <c r="F24" s="59">
        <v>44236</v>
      </c>
      <c r="G24" s="15">
        <v>32050</v>
      </c>
      <c r="H24" s="15">
        <v>32050</v>
      </c>
      <c r="I24" s="15">
        <v>31100</v>
      </c>
      <c r="J24" s="15">
        <v>31250</v>
      </c>
      <c r="K24" s="15">
        <v>137830</v>
      </c>
      <c r="L24" s="21">
        <v>-450</v>
      </c>
      <c r="M24" s="15">
        <v>32370</v>
      </c>
      <c r="N24" s="15"/>
      <c r="O24" s="15"/>
      <c r="AC24" s="35">
        <v>44382</v>
      </c>
      <c r="AD24" s="36">
        <v>42900</v>
      </c>
      <c r="AE24" s="36"/>
      <c r="AF24" s="36"/>
      <c r="AG24" s="36"/>
      <c r="AH24" s="57"/>
      <c r="AI24" s="57"/>
    </row>
    <row r="25" spans="2:35" ht="16.5" customHeight="1" x14ac:dyDescent="0.25">
      <c r="F25" s="59">
        <v>44237</v>
      </c>
      <c r="G25" s="15">
        <v>31250</v>
      </c>
      <c r="H25" s="15">
        <v>31250</v>
      </c>
      <c r="I25" s="15">
        <v>30800</v>
      </c>
      <c r="J25" s="15">
        <v>31250</v>
      </c>
      <c r="K25" s="15">
        <v>95760</v>
      </c>
      <c r="L25" s="21">
        <v>0</v>
      </c>
      <c r="M25" s="15">
        <v>32040</v>
      </c>
      <c r="N25" s="15"/>
      <c r="O25" s="15"/>
      <c r="AC25" s="35">
        <v>44383</v>
      </c>
      <c r="AD25" s="36">
        <v>41550</v>
      </c>
      <c r="AE25" s="36"/>
      <c r="AF25" s="36"/>
      <c r="AG25" s="36"/>
      <c r="AH25" s="57"/>
      <c r="AI25" s="57"/>
    </row>
    <row r="26" spans="2:35" ht="16.5" customHeight="1" x14ac:dyDescent="0.25">
      <c r="B26" s="67" t="s">
        <v>39</v>
      </c>
      <c r="C26" s="67"/>
      <c r="F26" s="59">
        <v>44242</v>
      </c>
      <c r="G26" s="15">
        <v>31300</v>
      </c>
      <c r="H26" s="15">
        <v>31500</v>
      </c>
      <c r="I26" s="15">
        <v>31000</v>
      </c>
      <c r="J26" s="15">
        <v>31100</v>
      </c>
      <c r="K26" s="15">
        <v>134614</v>
      </c>
      <c r="L26" s="21">
        <v>-150</v>
      </c>
      <c r="M26" s="15">
        <v>31730</v>
      </c>
      <c r="N26" s="15"/>
      <c r="O26" s="15"/>
      <c r="AC26" s="35">
        <v>44384</v>
      </c>
      <c r="AD26" s="36">
        <v>41000</v>
      </c>
      <c r="AE26" s="36">
        <v>41614.529914529499</v>
      </c>
      <c r="AF26" s="36"/>
      <c r="AG26" s="36"/>
      <c r="AH26" s="57">
        <v>42845.540723251252</v>
      </c>
      <c r="AI26" s="57">
        <v>40383.519105807747</v>
      </c>
    </row>
    <row r="27" spans="2:35" ht="16.5" customHeight="1" x14ac:dyDescent="0.25">
      <c r="B27" s="55" t="s">
        <v>40</v>
      </c>
      <c r="C27" s="54" t="s">
        <v>34</v>
      </c>
      <c r="F27" s="59">
        <v>44243</v>
      </c>
      <c r="G27" s="15">
        <v>31050</v>
      </c>
      <c r="H27" s="15">
        <v>31050</v>
      </c>
      <c r="I27" s="15">
        <v>30000</v>
      </c>
      <c r="J27" s="15">
        <v>30050</v>
      </c>
      <c r="K27" s="15">
        <v>285246</v>
      </c>
      <c r="L27" s="21">
        <v>-1050</v>
      </c>
      <c r="M27" s="15">
        <v>31530</v>
      </c>
      <c r="N27" s="15">
        <v>32855</v>
      </c>
      <c r="O27" s="15"/>
      <c r="AC27" s="35">
        <v>44385</v>
      </c>
      <c r="AD27" s="36">
        <v>40950</v>
      </c>
      <c r="AE27" s="36">
        <v>41679.059829058999</v>
      </c>
      <c r="AF27" s="36"/>
      <c r="AG27" s="36"/>
      <c r="AH27" s="57">
        <v>42911.979514858896</v>
      </c>
      <c r="AI27" s="57">
        <v>40446.140143259101</v>
      </c>
    </row>
    <row r="28" spans="2:35" ht="16.5" customHeight="1" x14ac:dyDescent="0.25">
      <c r="B28" s="55" t="s">
        <v>36</v>
      </c>
      <c r="C28" s="54" t="s">
        <v>35</v>
      </c>
      <c r="F28" s="59">
        <v>44244</v>
      </c>
      <c r="G28" s="15">
        <v>30150</v>
      </c>
      <c r="H28" s="15">
        <v>31750</v>
      </c>
      <c r="I28" s="15">
        <v>29000</v>
      </c>
      <c r="J28" s="15">
        <v>31650</v>
      </c>
      <c r="K28" s="15">
        <v>368052</v>
      </c>
      <c r="L28" s="21">
        <v>1600</v>
      </c>
      <c r="M28" s="15">
        <v>31070</v>
      </c>
      <c r="N28" s="15">
        <v>32657.5</v>
      </c>
      <c r="O28" s="15"/>
      <c r="AC28" s="35">
        <v>44386</v>
      </c>
      <c r="AD28" s="36">
        <v>40250</v>
      </c>
      <c r="AE28" s="36">
        <v>41743.589743588498</v>
      </c>
      <c r="AF28" s="36"/>
      <c r="AG28" s="36"/>
      <c r="AH28" s="57">
        <v>42978.418306466541</v>
      </c>
      <c r="AI28" s="57">
        <v>40508.761180710455</v>
      </c>
    </row>
    <row r="29" spans="2:35" ht="16.5" customHeight="1" x14ac:dyDescent="0.25">
      <c r="F29" s="59">
        <v>44245</v>
      </c>
      <c r="G29" s="15">
        <v>31800</v>
      </c>
      <c r="H29" s="15">
        <v>32400</v>
      </c>
      <c r="I29" s="15">
        <v>30700</v>
      </c>
      <c r="J29" s="15">
        <v>31850</v>
      </c>
      <c r="K29" s="15">
        <v>229321</v>
      </c>
      <c r="L29" s="21">
        <v>200</v>
      </c>
      <c r="M29" s="15">
        <v>31060</v>
      </c>
      <c r="N29" s="15">
        <v>32592.5</v>
      </c>
      <c r="O29" s="15"/>
      <c r="AC29" s="35">
        <v>44389</v>
      </c>
      <c r="AD29" s="36">
        <v>40600</v>
      </c>
      <c r="AE29" s="36">
        <v>41808.119658117997</v>
      </c>
      <c r="AF29" s="36"/>
      <c r="AG29" s="36"/>
      <c r="AH29" s="57">
        <v>43044.857098074193</v>
      </c>
      <c r="AI29" s="57">
        <v>40571.382218161802</v>
      </c>
    </row>
    <row r="30" spans="2:35" ht="16.5" customHeight="1" x14ac:dyDescent="0.25">
      <c r="B30" s="68" t="s">
        <v>41</v>
      </c>
      <c r="C30" s="69"/>
      <c r="F30" s="59">
        <v>44246</v>
      </c>
      <c r="G30" s="15">
        <v>31850</v>
      </c>
      <c r="H30" s="15">
        <v>32650</v>
      </c>
      <c r="I30" s="15">
        <v>31600</v>
      </c>
      <c r="J30" s="15">
        <v>32050</v>
      </c>
      <c r="K30" s="15">
        <v>140532</v>
      </c>
      <c r="L30" s="21">
        <v>200</v>
      </c>
      <c r="M30" s="15">
        <v>31180</v>
      </c>
      <c r="N30" s="15">
        <v>32512.5</v>
      </c>
      <c r="O30" s="15"/>
      <c r="AC30" s="35">
        <v>44390</v>
      </c>
      <c r="AD30" s="36">
        <v>41850</v>
      </c>
      <c r="AE30" s="36">
        <v>41872.649572647497</v>
      </c>
      <c r="AF30" s="36"/>
      <c r="AG30" s="36"/>
      <c r="AH30" s="57">
        <v>43111.295889681838</v>
      </c>
      <c r="AI30" s="57">
        <v>40634.003255613155</v>
      </c>
    </row>
    <row r="31" spans="2:35" ht="16.5" customHeight="1" x14ac:dyDescent="0.25">
      <c r="B31" s="70"/>
      <c r="C31" s="71"/>
      <c r="F31" s="59">
        <v>44249</v>
      </c>
      <c r="G31" s="15">
        <v>32550</v>
      </c>
      <c r="H31" s="15">
        <v>32750</v>
      </c>
      <c r="I31" s="15">
        <v>31400</v>
      </c>
      <c r="J31" s="15">
        <v>32050</v>
      </c>
      <c r="K31" s="15">
        <v>121995</v>
      </c>
      <c r="L31" s="21">
        <v>0</v>
      </c>
      <c r="M31" s="15">
        <v>31340</v>
      </c>
      <c r="N31" s="15">
        <v>32400</v>
      </c>
      <c r="O31" s="15"/>
      <c r="AC31" s="35">
        <v>44391</v>
      </c>
      <c r="AD31" s="36">
        <v>45450</v>
      </c>
      <c r="AE31" s="36">
        <v>45450</v>
      </c>
      <c r="AF31" s="36">
        <v>45450</v>
      </c>
      <c r="AG31" s="36">
        <v>45450</v>
      </c>
      <c r="AH31" s="57">
        <v>46794.468899956722</v>
      </c>
      <c r="AI31" s="57">
        <v>44105.531100043278</v>
      </c>
    </row>
    <row r="32" spans="2:35" ht="16.5" customHeight="1" x14ac:dyDescent="0.25">
      <c r="B32" s="70"/>
      <c r="C32" s="71"/>
      <c r="F32" s="59">
        <v>44250</v>
      </c>
      <c r="G32" s="15">
        <v>31900</v>
      </c>
      <c r="H32" s="15">
        <v>31900</v>
      </c>
      <c r="I32" s="15">
        <v>30650</v>
      </c>
      <c r="J32" s="15">
        <v>31000</v>
      </c>
      <c r="K32" s="15">
        <v>108052</v>
      </c>
      <c r="L32" s="21">
        <v>-1050</v>
      </c>
      <c r="M32" s="15">
        <v>31530</v>
      </c>
      <c r="N32" s="15">
        <v>32312.5</v>
      </c>
      <c r="O32" s="15"/>
      <c r="AC32" s="35">
        <v>44392</v>
      </c>
      <c r="AD32" s="36"/>
      <c r="AE32" s="36">
        <v>45543.089430894302</v>
      </c>
      <c r="AF32" s="36">
        <v>46225.713598098613</v>
      </c>
      <c r="AG32" s="36">
        <v>44860.465263689992</v>
      </c>
      <c r="AH32" s="57">
        <v>46890.312034805967</v>
      </c>
      <c r="AI32" s="57">
        <v>44195.866826982638</v>
      </c>
    </row>
    <row r="33" spans="2:35" ht="16.5" customHeight="1" x14ac:dyDescent="0.25">
      <c r="B33" s="70"/>
      <c r="C33" s="71"/>
      <c r="F33" s="59">
        <v>44251</v>
      </c>
      <c r="G33" s="15">
        <v>30900</v>
      </c>
      <c r="H33" s="15">
        <v>31200</v>
      </c>
      <c r="I33" s="15">
        <v>29550</v>
      </c>
      <c r="J33" s="15">
        <v>29700</v>
      </c>
      <c r="K33" s="15">
        <v>160107</v>
      </c>
      <c r="L33" s="21">
        <v>-1300</v>
      </c>
      <c r="M33" s="15">
        <v>31720</v>
      </c>
      <c r="N33" s="15">
        <v>32212.5</v>
      </c>
      <c r="O33" s="15"/>
      <c r="AC33" s="35">
        <v>44393</v>
      </c>
      <c r="AD33" s="36"/>
      <c r="AE33" s="36">
        <v>45636.178861788598</v>
      </c>
      <c r="AF33" s="36">
        <v>46448.669820515861</v>
      </c>
      <c r="AG33" s="36">
        <v>44823.687903061335</v>
      </c>
      <c r="AH33" s="57">
        <v>46986.155169655205</v>
      </c>
      <c r="AI33" s="57">
        <v>44286.20255392199</v>
      </c>
    </row>
    <row r="34" spans="2:35" ht="16.5" customHeight="1" x14ac:dyDescent="0.25">
      <c r="B34" s="70"/>
      <c r="C34" s="71"/>
      <c r="F34" s="59">
        <v>44252</v>
      </c>
      <c r="G34" s="15">
        <v>29800</v>
      </c>
      <c r="H34" s="15">
        <v>30450</v>
      </c>
      <c r="I34" s="15">
        <v>29650</v>
      </c>
      <c r="J34" s="15">
        <v>30100</v>
      </c>
      <c r="K34" s="15">
        <v>123262</v>
      </c>
      <c r="L34" s="21">
        <v>400</v>
      </c>
      <c r="M34" s="15">
        <v>31330</v>
      </c>
      <c r="N34" s="15">
        <v>31957.5</v>
      </c>
      <c r="O34" s="15"/>
      <c r="AC34" s="35">
        <v>44396</v>
      </c>
      <c r="AD34" s="36"/>
      <c r="AE34" s="36">
        <v>45729.2682926829</v>
      </c>
      <c r="AF34" s="36">
        <v>47426.181736254526</v>
      </c>
      <c r="AG34" s="36">
        <v>44032.354849111274</v>
      </c>
      <c r="AH34" s="57">
        <v>47081.998304504443</v>
      </c>
      <c r="AI34" s="57">
        <v>44376.538280861358</v>
      </c>
    </row>
    <row r="35" spans="2:35" ht="16.5" customHeight="1" x14ac:dyDescent="0.25">
      <c r="B35" s="70"/>
      <c r="C35" s="71"/>
      <c r="F35" s="59">
        <v>44253</v>
      </c>
      <c r="G35" s="15">
        <v>29450</v>
      </c>
      <c r="H35" s="15">
        <v>29500</v>
      </c>
      <c r="I35" s="15">
        <v>28150</v>
      </c>
      <c r="J35" s="15">
        <v>28400</v>
      </c>
      <c r="K35" s="15">
        <v>261573</v>
      </c>
      <c r="L35" s="21">
        <v>-1700</v>
      </c>
      <c r="M35" s="15">
        <v>30980</v>
      </c>
      <c r="N35" s="15">
        <v>31757.5</v>
      </c>
      <c r="O35" s="15"/>
      <c r="AC35" s="35">
        <v>44397</v>
      </c>
      <c r="AD35" s="36"/>
      <c r="AE35" s="36">
        <v>45822.357723577203</v>
      </c>
      <c r="AF35" s="36">
        <v>47185.877209960665</v>
      </c>
      <c r="AG35" s="36">
        <v>44458.83823719374</v>
      </c>
      <c r="AH35" s="57">
        <v>47177.841439353688</v>
      </c>
      <c r="AI35" s="57">
        <v>44466.874007800718</v>
      </c>
    </row>
    <row r="36" spans="2:35" ht="16.5" customHeight="1" x14ac:dyDescent="0.25">
      <c r="B36" s="72"/>
      <c r="C36" s="73"/>
      <c r="F36" s="59">
        <v>44257</v>
      </c>
      <c r="G36" s="15">
        <v>28900</v>
      </c>
      <c r="H36" s="15">
        <v>29900</v>
      </c>
      <c r="I36" s="15">
        <v>28650</v>
      </c>
      <c r="J36" s="15">
        <v>29200</v>
      </c>
      <c r="K36" s="15">
        <v>121625</v>
      </c>
      <c r="L36" s="21">
        <v>800</v>
      </c>
      <c r="M36" s="15">
        <v>30250</v>
      </c>
      <c r="N36" s="15">
        <v>31502.5</v>
      </c>
      <c r="O36" s="15"/>
      <c r="AC36" s="35">
        <v>44398</v>
      </c>
      <c r="AD36" s="36"/>
      <c r="AE36" s="36">
        <v>45915.447154471498</v>
      </c>
      <c r="AF36" s="36">
        <v>45940.296981376334</v>
      </c>
      <c r="AG36" s="36">
        <v>45890.597327566662</v>
      </c>
      <c r="AH36" s="57">
        <v>47273.684574202925</v>
      </c>
      <c r="AI36" s="57">
        <v>44557.20973474007</v>
      </c>
    </row>
    <row r="37" spans="2:35" ht="16.5" customHeight="1" x14ac:dyDescent="0.25">
      <c r="F37" s="59">
        <v>44258</v>
      </c>
      <c r="G37" s="15">
        <v>28750</v>
      </c>
      <c r="H37" s="15">
        <v>29700</v>
      </c>
      <c r="I37" s="15">
        <v>28750</v>
      </c>
      <c r="J37" s="15">
        <v>29350</v>
      </c>
      <c r="K37" s="15">
        <v>74261</v>
      </c>
      <c r="L37" s="21">
        <v>150</v>
      </c>
      <c r="M37" s="15">
        <v>29680</v>
      </c>
      <c r="N37" s="15">
        <v>31312.5</v>
      </c>
      <c r="O37" s="15"/>
      <c r="AC37" s="35">
        <v>44399</v>
      </c>
      <c r="AD37" s="36"/>
      <c r="AE37" s="36">
        <v>46008.536585365902</v>
      </c>
      <c r="AF37" s="36">
        <v>49564.52626813898</v>
      </c>
      <c r="AG37" s="36">
        <v>42452.546902592825</v>
      </c>
      <c r="AH37" s="57">
        <v>47369.527709052272</v>
      </c>
      <c r="AI37" s="57">
        <v>44647.545461679532</v>
      </c>
    </row>
    <row r="38" spans="2:35" ht="16.5" customHeight="1" x14ac:dyDescent="0.25">
      <c r="F38" s="59">
        <v>44259</v>
      </c>
      <c r="G38" s="15">
        <v>28900</v>
      </c>
      <c r="H38" s="15">
        <v>29650</v>
      </c>
      <c r="I38" s="15">
        <v>28050</v>
      </c>
      <c r="J38" s="15">
        <v>28350</v>
      </c>
      <c r="K38" s="15">
        <v>162525</v>
      </c>
      <c r="L38" s="21">
        <v>-1000</v>
      </c>
      <c r="M38" s="15">
        <v>29350</v>
      </c>
      <c r="N38" s="15">
        <v>31182.5</v>
      </c>
      <c r="O38" s="15"/>
    </row>
    <row r="39" spans="2:35" ht="16.5" customHeight="1" x14ac:dyDescent="0.25">
      <c r="F39" s="59">
        <v>44260</v>
      </c>
      <c r="G39" s="15">
        <v>28100</v>
      </c>
      <c r="H39" s="15">
        <v>28700</v>
      </c>
      <c r="I39" s="15">
        <v>27500</v>
      </c>
      <c r="J39" s="15">
        <v>28600</v>
      </c>
      <c r="K39" s="15">
        <v>107638</v>
      </c>
      <c r="L39" s="21">
        <v>250</v>
      </c>
      <c r="M39" s="15">
        <v>29080</v>
      </c>
      <c r="N39" s="15">
        <v>30960</v>
      </c>
      <c r="O39" s="15"/>
    </row>
    <row r="40" spans="2:35" ht="16.5" customHeight="1" x14ac:dyDescent="0.25">
      <c r="F40" s="59">
        <v>44263</v>
      </c>
      <c r="G40" s="15">
        <v>29000</v>
      </c>
      <c r="H40" s="15">
        <v>29500</v>
      </c>
      <c r="I40" s="15">
        <v>28100</v>
      </c>
      <c r="J40" s="15">
        <v>28400</v>
      </c>
      <c r="K40" s="15">
        <v>123807</v>
      </c>
      <c r="L40" s="21">
        <v>-200</v>
      </c>
      <c r="M40" s="15">
        <v>28780</v>
      </c>
      <c r="N40" s="15">
        <v>30745</v>
      </c>
      <c r="O40" s="15"/>
    </row>
    <row r="41" spans="2:35" ht="16.5" customHeight="1" x14ac:dyDescent="0.25">
      <c r="F41" s="59">
        <v>44264</v>
      </c>
      <c r="G41" s="15">
        <v>28050</v>
      </c>
      <c r="H41" s="15">
        <v>28700</v>
      </c>
      <c r="I41" s="15">
        <v>27900</v>
      </c>
      <c r="J41" s="15">
        <v>28600</v>
      </c>
      <c r="K41" s="15">
        <v>100985</v>
      </c>
      <c r="L41" s="21">
        <v>200</v>
      </c>
      <c r="M41" s="15">
        <v>28780</v>
      </c>
      <c r="N41" s="15">
        <v>30525</v>
      </c>
      <c r="O41" s="15"/>
    </row>
    <row r="42" spans="2:35" ht="16.5" customHeight="1" x14ac:dyDescent="0.25">
      <c r="F42" s="59">
        <v>44265</v>
      </c>
      <c r="G42" s="15">
        <v>28950</v>
      </c>
      <c r="H42" s="15">
        <v>29050</v>
      </c>
      <c r="I42" s="15">
        <v>28150</v>
      </c>
      <c r="J42" s="15">
        <v>28350</v>
      </c>
      <c r="K42" s="15">
        <v>78798</v>
      </c>
      <c r="L42" s="21">
        <v>-250</v>
      </c>
      <c r="M42" s="15">
        <v>28660</v>
      </c>
      <c r="N42" s="15">
        <v>30350</v>
      </c>
      <c r="O42" s="15"/>
    </row>
    <row r="43" spans="2:35" ht="16.5" customHeight="1" x14ac:dyDescent="0.25">
      <c r="F43" s="59">
        <v>44266</v>
      </c>
      <c r="G43" s="15">
        <v>28500</v>
      </c>
      <c r="H43" s="15">
        <v>29900</v>
      </c>
      <c r="I43" s="15">
        <v>28350</v>
      </c>
      <c r="J43" s="15">
        <v>29800</v>
      </c>
      <c r="K43" s="15">
        <v>182237</v>
      </c>
      <c r="L43" s="21">
        <v>1450</v>
      </c>
      <c r="M43" s="15">
        <v>28460</v>
      </c>
      <c r="N43" s="15">
        <v>30150</v>
      </c>
      <c r="O43" s="15"/>
    </row>
    <row r="44" spans="2:35" ht="16.5" customHeight="1" x14ac:dyDescent="0.25">
      <c r="F44" s="59">
        <v>44267</v>
      </c>
      <c r="G44" s="15">
        <v>29600</v>
      </c>
      <c r="H44" s="15">
        <v>31000</v>
      </c>
      <c r="I44" s="15">
        <v>29600</v>
      </c>
      <c r="J44" s="15">
        <v>30850</v>
      </c>
      <c r="K44" s="15">
        <v>128782</v>
      </c>
      <c r="L44" s="21">
        <v>1050</v>
      </c>
      <c r="M44" s="15">
        <v>28750</v>
      </c>
      <c r="N44" s="15">
        <v>30055</v>
      </c>
      <c r="O44" s="15"/>
    </row>
    <row r="45" spans="2:35" ht="16.5" customHeight="1" x14ac:dyDescent="0.25">
      <c r="F45" s="59">
        <v>44270</v>
      </c>
      <c r="G45" s="15">
        <v>30800</v>
      </c>
      <c r="H45" s="15">
        <v>31000</v>
      </c>
      <c r="I45" s="15">
        <v>30050</v>
      </c>
      <c r="J45" s="15">
        <v>30400</v>
      </c>
      <c r="K45" s="15">
        <v>66981</v>
      </c>
      <c r="L45" s="21">
        <v>-450</v>
      </c>
      <c r="M45" s="15">
        <v>29200</v>
      </c>
      <c r="N45" s="15">
        <v>30035</v>
      </c>
      <c r="O45" s="15"/>
    </row>
    <row r="46" spans="2:35" ht="16.5" customHeight="1" x14ac:dyDescent="0.25">
      <c r="F46" s="59">
        <v>44271</v>
      </c>
      <c r="G46" s="15">
        <v>30400</v>
      </c>
      <c r="H46" s="15">
        <v>31050</v>
      </c>
      <c r="I46" s="15">
        <v>30100</v>
      </c>
      <c r="J46" s="15">
        <v>31050</v>
      </c>
      <c r="K46" s="15">
        <v>93824</v>
      </c>
      <c r="L46" s="21">
        <v>650</v>
      </c>
      <c r="M46" s="15">
        <v>29600</v>
      </c>
      <c r="N46" s="15">
        <v>29992.5</v>
      </c>
      <c r="O46" s="15"/>
    </row>
    <row r="47" spans="2:35" ht="16.5" customHeight="1" x14ac:dyDescent="0.25">
      <c r="F47" s="59">
        <v>44272</v>
      </c>
      <c r="G47" s="15">
        <v>30750</v>
      </c>
      <c r="H47" s="15">
        <v>32500</v>
      </c>
      <c r="I47" s="15">
        <v>30650</v>
      </c>
      <c r="J47" s="15">
        <v>32200</v>
      </c>
      <c r="K47" s="15">
        <v>217400</v>
      </c>
      <c r="L47" s="21">
        <v>1150</v>
      </c>
      <c r="M47" s="15">
        <v>30090</v>
      </c>
      <c r="N47" s="15">
        <v>29990</v>
      </c>
      <c r="O47" s="15"/>
    </row>
    <row r="48" spans="2:35" ht="16.5" customHeight="1" x14ac:dyDescent="0.25">
      <c r="F48" s="59">
        <v>44273</v>
      </c>
      <c r="G48" s="15">
        <v>32650</v>
      </c>
      <c r="H48" s="15">
        <v>32950</v>
      </c>
      <c r="I48" s="15">
        <v>32300</v>
      </c>
      <c r="J48" s="15">
        <v>32350</v>
      </c>
      <c r="K48" s="15">
        <v>186269</v>
      </c>
      <c r="L48" s="21">
        <v>150</v>
      </c>
      <c r="M48" s="15">
        <v>30860</v>
      </c>
      <c r="N48" s="15">
        <v>30097.5</v>
      </c>
      <c r="O48" s="15"/>
    </row>
    <row r="49" spans="6:15" ht="16.5" customHeight="1" x14ac:dyDescent="0.25">
      <c r="F49" s="59">
        <v>44274</v>
      </c>
      <c r="G49" s="15">
        <v>31800</v>
      </c>
      <c r="H49" s="15">
        <v>34250</v>
      </c>
      <c r="I49" s="15">
        <v>31600</v>
      </c>
      <c r="J49" s="15">
        <v>34150</v>
      </c>
      <c r="K49" s="15">
        <v>501667</v>
      </c>
      <c r="L49" s="21">
        <v>1800</v>
      </c>
      <c r="M49" s="15">
        <v>31370</v>
      </c>
      <c r="N49" s="15">
        <v>30132.5</v>
      </c>
      <c r="O49" s="15"/>
    </row>
    <row r="50" spans="6:15" ht="16.5" customHeight="1" x14ac:dyDescent="0.25">
      <c r="F50" s="59">
        <v>44277</v>
      </c>
      <c r="G50" s="15">
        <v>35000</v>
      </c>
      <c r="H50" s="15">
        <v>38300</v>
      </c>
      <c r="I50" s="15">
        <v>34650</v>
      </c>
      <c r="J50" s="15">
        <v>36300</v>
      </c>
      <c r="K50" s="15">
        <v>1326207</v>
      </c>
      <c r="L50" s="21">
        <v>2150</v>
      </c>
      <c r="M50" s="15">
        <v>32030</v>
      </c>
      <c r="N50" s="15">
        <v>30247.5</v>
      </c>
      <c r="O50" s="15"/>
    </row>
    <row r="51" spans="6:15" ht="16.5" customHeight="1" x14ac:dyDescent="0.25">
      <c r="F51" s="59">
        <v>44278</v>
      </c>
      <c r="G51" s="15">
        <v>36250</v>
      </c>
      <c r="H51" s="15">
        <v>37250</v>
      </c>
      <c r="I51" s="15">
        <v>35300</v>
      </c>
      <c r="J51" s="15">
        <v>35350</v>
      </c>
      <c r="K51" s="15">
        <v>429249</v>
      </c>
      <c r="L51" s="21">
        <v>-950</v>
      </c>
      <c r="M51" s="15">
        <v>33210</v>
      </c>
      <c r="N51" s="15">
        <v>30460</v>
      </c>
      <c r="O51" s="15"/>
    </row>
    <row r="52" spans="6:15" ht="16.5" customHeight="1" x14ac:dyDescent="0.25">
      <c r="F52" s="59">
        <v>44279</v>
      </c>
      <c r="G52" s="15">
        <v>35350</v>
      </c>
      <c r="H52" s="15">
        <v>38750</v>
      </c>
      <c r="I52" s="15">
        <v>34950</v>
      </c>
      <c r="J52" s="15">
        <v>38650</v>
      </c>
      <c r="K52" s="15">
        <v>904374</v>
      </c>
      <c r="L52" s="21">
        <v>3300</v>
      </c>
      <c r="M52" s="15">
        <v>34070</v>
      </c>
      <c r="N52" s="15">
        <v>30625</v>
      </c>
      <c r="O52" s="15"/>
    </row>
    <row r="53" spans="6:15" ht="16.5" customHeight="1" x14ac:dyDescent="0.25">
      <c r="F53" s="59">
        <v>44280</v>
      </c>
      <c r="G53" s="15">
        <v>38850</v>
      </c>
      <c r="H53" s="15">
        <v>39300</v>
      </c>
      <c r="I53" s="15">
        <v>37550</v>
      </c>
      <c r="J53" s="15">
        <v>38350</v>
      </c>
      <c r="K53" s="15">
        <v>582296</v>
      </c>
      <c r="L53" s="21">
        <v>-300</v>
      </c>
      <c r="M53" s="15">
        <v>35360</v>
      </c>
      <c r="N53" s="15">
        <v>31007.5</v>
      </c>
      <c r="O53" s="15"/>
    </row>
    <row r="54" spans="6:15" ht="16.5" customHeight="1" x14ac:dyDescent="0.25">
      <c r="F54" s="59">
        <v>44281</v>
      </c>
      <c r="G54" s="15">
        <v>38400</v>
      </c>
      <c r="H54" s="15">
        <v>39450</v>
      </c>
      <c r="I54" s="15">
        <v>37600</v>
      </c>
      <c r="J54" s="15">
        <v>39200</v>
      </c>
      <c r="K54" s="15">
        <v>555881</v>
      </c>
      <c r="L54" s="21">
        <v>850</v>
      </c>
      <c r="M54" s="15">
        <v>36560</v>
      </c>
      <c r="N54" s="15">
        <v>31440</v>
      </c>
      <c r="O54" s="15"/>
    </row>
    <row r="55" spans="6:15" ht="16.5" customHeight="1" x14ac:dyDescent="0.25">
      <c r="F55" s="59">
        <v>44284</v>
      </c>
      <c r="G55" s="15">
        <v>39100</v>
      </c>
      <c r="H55" s="15">
        <v>40350</v>
      </c>
      <c r="I55" s="15">
        <v>38300</v>
      </c>
      <c r="J55" s="15">
        <v>38800</v>
      </c>
      <c r="K55" s="15">
        <v>494954</v>
      </c>
      <c r="L55" s="21">
        <v>-400</v>
      </c>
      <c r="M55" s="15">
        <v>37570</v>
      </c>
      <c r="N55" s="15">
        <v>31895</v>
      </c>
      <c r="O55" s="15"/>
    </row>
    <row r="56" spans="6:15" ht="16.5" customHeight="1" x14ac:dyDescent="0.25">
      <c r="F56" s="59">
        <v>44285</v>
      </c>
      <c r="G56" s="15">
        <v>38800</v>
      </c>
      <c r="H56" s="15">
        <v>39250</v>
      </c>
      <c r="I56" s="15">
        <v>36500</v>
      </c>
      <c r="J56" s="15">
        <v>38800</v>
      </c>
      <c r="K56" s="15">
        <v>446671</v>
      </c>
      <c r="L56" s="21">
        <v>0</v>
      </c>
      <c r="M56" s="15">
        <v>38070</v>
      </c>
      <c r="N56" s="15">
        <v>32415</v>
      </c>
      <c r="O56" s="15"/>
    </row>
    <row r="57" spans="6:15" ht="16.5" customHeight="1" x14ac:dyDescent="0.25">
      <c r="F57" s="59">
        <v>44286</v>
      </c>
      <c r="G57" s="15">
        <v>38600</v>
      </c>
      <c r="H57" s="15">
        <v>39050</v>
      </c>
      <c r="I57" s="15">
        <v>37900</v>
      </c>
      <c r="J57" s="15">
        <v>37950</v>
      </c>
      <c r="K57" s="15">
        <v>239214</v>
      </c>
      <c r="L57" s="21">
        <v>-850</v>
      </c>
      <c r="M57" s="15">
        <v>38760</v>
      </c>
      <c r="N57" s="15">
        <v>32895</v>
      </c>
      <c r="O57" s="15"/>
    </row>
    <row r="58" spans="6:15" ht="16.5" customHeight="1" x14ac:dyDescent="0.25">
      <c r="F58" s="59">
        <v>44287</v>
      </c>
      <c r="G58" s="15">
        <v>38150</v>
      </c>
      <c r="H58" s="15">
        <v>40100</v>
      </c>
      <c r="I58" s="15">
        <v>37800</v>
      </c>
      <c r="J58" s="15">
        <v>38100</v>
      </c>
      <c r="K58" s="15">
        <v>361736</v>
      </c>
      <c r="L58" s="21">
        <v>150</v>
      </c>
      <c r="M58" s="15">
        <v>38620</v>
      </c>
      <c r="N58" s="15">
        <v>33325</v>
      </c>
      <c r="O58" s="15"/>
    </row>
    <row r="59" spans="6:15" ht="16.5" customHeight="1" x14ac:dyDescent="0.25">
      <c r="F59" s="59">
        <v>44288</v>
      </c>
      <c r="G59" s="15">
        <v>38600</v>
      </c>
      <c r="H59" s="15">
        <v>39350</v>
      </c>
      <c r="I59" s="15">
        <v>38100</v>
      </c>
      <c r="J59" s="15">
        <v>39000</v>
      </c>
      <c r="K59" s="15">
        <v>214591</v>
      </c>
      <c r="L59" s="21">
        <v>900</v>
      </c>
      <c r="M59" s="15">
        <v>38570</v>
      </c>
      <c r="N59" s="15">
        <v>33812.5</v>
      </c>
      <c r="O59" s="15"/>
    </row>
    <row r="60" spans="6:15" ht="16.5" customHeight="1" x14ac:dyDescent="0.25">
      <c r="F60" s="59">
        <v>44291</v>
      </c>
      <c r="G60" s="15">
        <v>39150</v>
      </c>
      <c r="H60" s="15">
        <v>40000</v>
      </c>
      <c r="I60" s="15">
        <v>38550</v>
      </c>
      <c r="J60" s="15">
        <v>39750</v>
      </c>
      <c r="K60" s="15">
        <v>297184</v>
      </c>
      <c r="L60" s="21">
        <v>750</v>
      </c>
      <c r="M60" s="15">
        <v>38530</v>
      </c>
      <c r="N60" s="15">
        <v>34332.5</v>
      </c>
      <c r="O60" s="15"/>
    </row>
    <row r="61" spans="6:15" ht="16.5" customHeight="1" x14ac:dyDescent="0.25">
      <c r="F61" s="59">
        <v>44292</v>
      </c>
      <c r="G61" s="15">
        <v>41500</v>
      </c>
      <c r="H61" s="15">
        <v>42400</v>
      </c>
      <c r="I61" s="15">
        <v>40400</v>
      </c>
      <c r="J61" s="15">
        <v>40450</v>
      </c>
      <c r="K61" s="15">
        <v>865162</v>
      </c>
      <c r="L61" s="21">
        <v>700</v>
      </c>
      <c r="M61" s="15">
        <v>38720</v>
      </c>
      <c r="N61" s="15">
        <v>34900</v>
      </c>
      <c r="O61" s="15"/>
    </row>
    <row r="62" spans="6:15" ht="16.5" customHeight="1" x14ac:dyDescent="0.25">
      <c r="F62" s="59">
        <v>44293</v>
      </c>
      <c r="G62" s="15">
        <v>39900</v>
      </c>
      <c r="H62" s="15">
        <v>40300</v>
      </c>
      <c r="I62" s="15">
        <v>37600</v>
      </c>
      <c r="J62" s="15">
        <v>38050</v>
      </c>
      <c r="K62" s="15">
        <v>485297</v>
      </c>
      <c r="L62" s="21">
        <v>-2400</v>
      </c>
      <c r="M62" s="15">
        <v>39050</v>
      </c>
      <c r="N62" s="15">
        <v>35492.5</v>
      </c>
      <c r="O62" s="15"/>
    </row>
    <row r="63" spans="6:15" ht="16.5" customHeight="1" x14ac:dyDescent="0.25">
      <c r="F63" s="59">
        <v>44294</v>
      </c>
      <c r="G63" s="15">
        <v>37900</v>
      </c>
      <c r="H63" s="15">
        <v>40450</v>
      </c>
      <c r="I63" s="15">
        <v>37100</v>
      </c>
      <c r="J63" s="15">
        <v>40000</v>
      </c>
      <c r="K63" s="15">
        <v>578229</v>
      </c>
      <c r="L63" s="21">
        <v>1950</v>
      </c>
      <c r="M63" s="15">
        <v>39070</v>
      </c>
      <c r="N63" s="15">
        <v>35977.5</v>
      </c>
      <c r="O63" s="15"/>
    </row>
    <row r="64" spans="6:15" ht="16.5" customHeight="1" x14ac:dyDescent="0.25">
      <c r="F64" s="59">
        <v>44295</v>
      </c>
      <c r="G64" s="15">
        <v>40150</v>
      </c>
      <c r="H64" s="15">
        <v>41050</v>
      </c>
      <c r="I64" s="15">
        <v>39150</v>
      </c>
      <c r="J64" s="15">
        <v>39150</v>
      </c>
      <c r="K64" s="15">
        <v>405637</v>
      </c>
      <c r="L64" s="21">
        <v>-850</v>
      </c>
      <c r="M64" s="15">
        <v>39450</v>
      </c>
      <c r="N64" s="15">
        <v>36487.5</v>
      </c>
      <c r="O64" s="15"/>
    </row>
    <row r="65" spans="6:15" ht="16.5" customHeight="1" x14ac:dyDescent="0.25">
      <c r="F65" s="59">
        <v>44298</v>
      </c>
      <c r="G65" s="15">
        <v>39150</v>
      </c>
      <c r="H65" s="15">
        <v>39850</v>
      </c>
      <c r="I65" s="15">
        <v>38550</v>
      </c>
      <c r="J65" s="15">
        <v>38550</v>
      </c>
      <c r="K65" s="15">
        <v>224705</v>
      </c>
      <c r="L65" s="21">
        <v>-600</v>
      </c>
      <c r="M65" s="15">
        <v>39480</v>
      </c>
      <c r="N65" s="15">
        <v>36902.5</v>
      </c>
      <c r="O65" s="15"/>
    </row>
    <row r="66" spans="6:15" ht="16.5" customHeight="1" x14ac:dyDescent="0.25">
      <c r="F66" s="59">
        <v>44299</v>
      </c>
      <c r="G66" s="15">
        <v>38650</v>
      </c>
      <c r="H66" s="15">
        <v>39350</v>
      </c>
      <c r="I66" s="15">
        <v>38400</v>
      </c>
      <c r="J66" s="15">
        <v>38600</v>
      </c>
      <c r="K66" s="15">
        <v>183848</v>
      </c>
      <c r="L66" s="21">
        <v>50</v>
      </c>
      <c r="M66" s="15">
        <v>39240</v>
      </c>
      <c r="N66" s="15">
        <v>37310</v>
      </c>
      <c r="O66" s="15"/>
    </row>
    <row r="67" spans="6:15" ht="16.5" customHeight="1" x14ac:dyDescent="0.25">
      <c r="F67" s="59">
        <v>44300</v>
      </c>
      <c r="G67" s="15">
        <v>38600</v>
      </c>
      <c r="H67" s="15">
        <v>39650</v>
      </c>
      <c r="I67" s="15">
        <v>38350</v>
      </c>
      <c r="J67" s="15">
        <v>38800</v>
      </c>
      <c r="K67" s="15">
        <v>201821</v>
      </c>
      <c r="L67" s="21">
        <v>200</v>
      </c>
      <c r="M67" s="15">
        <v>38870</v>
      </c>
      <c r="N67" s="15">
        <v>37687.5</v>
      </c>
      <c r="O67" s="15">
        <v>33510.833333333336</v>
      </c>
    </row>
    <row r="68" spans="6:15" ht="16.5" customHeight="1" x14ac:dyDescent="0.25">
      <c r="F68" s="59">
        <v>44301</v>
      </c>
      <c r="G68" s="15">
        <v>38900</v>
      </c>
      <c r="H68" s="15">
        <v>39550</v>
      </c>
      <c r="I68" s="15">
        <v>38300</v>
      </c>
      <c r="J68" s="15">
        <v>38300</v>
      </c>
      <c r="K68" s="15">
        <v>231762</v>
      </c>
      <c r="L68" s="21">
        <v>-500</v>
      </c>
      <c r="M68" s="15">
        <v>39020</v>
      </c>
      <c r="N68" s="15">
        <v>38017.5</v>
      </c>
      <c r="O68" s="15">
        <v>33590.833333333336</v>
      </c>
    </row>
    <row r="69" spans="6:15" ht="16.5" customHeight="1" x14ac:dyDescent="0.25">
      <c r="F69" s="59">
        <v>44302</v>
      </c>
      <c r="G69" s="15">
        <v>39000</v>
      </c>
      <c r="H69" s="15">
        <v>39000</v>
      </c>
      <c r="I69" s="15">
        <v>37900</v>
      </c>
      <c r="J69" s="15">
        <v>38000</v>
      </c>
      <c r="K69" s="15">
        <v>229618</v>
      </c>
      <c r="L69" s="21">
        <v>-300</v>
      </c>
      <c r="M69" s="15">
        <v>38680</v>
      </c>
      <c r="N69" s="15">
        <v>38315</v>
      </c>
      <c r="O69" s="15">
        <v>33680</v>
      </c>
    </row>
    <row r="70" spans="6:15" ht="16.5" customHeight="1" x14ac:dyDescent="0.25">
      <c r="F70" s="59">
        <v>44305</v>
      </c>
      <c r="G70" s="15">
        <v>37900</v>
      </c>
      <c r="H70" s="15">
        <v>37950</v>
      </c>
      <c r="I70" s="15">
        <v>36600</v>
      </c>
      <c r="J70" s="15">
        <v>37050</v>
      </c>
      <c r="K70" s="15">
        <v>507074</v>
      </c>
      <c r="L70" s="21">
        <v>-950</v>
      </c>
      <c r="M70" s="15">
        <v>38450</v>
      </c>
      <c r="N70" s="15">
        <v>38507.5</v>
      </c>
      <c r="O70" s="15">
        <v>33755.833333333336</v>
      </c>
    </row>
    <row r="71" spans="6:15" ht="16.5" customHeight="1" x14ac:dyDescent="0.25">
      <c r="F71" s="59">
        <v>44306</v>
      </c>
      <c r="G71" s="15">
        <v>37050</v>
      </c>
      <c r="H71" s="15">
        <v>38000</v>
      </c>
      <c r="I71" s="15">
        <v>36650</v>
      </c>
      <c r="J71" s="15">
        <v>36900</v>
      </c>
      <c r="K71" s="15">
        <v>227348</v>
      </c>
      <c r="L71" s="21">
        <v>-150</v>
      </c>
      <c r="M71" s="15">
        <v>38150</v>
      </c>
      <c r="N71" s="15">
        <v>38545</v>
      </c>
      <c r="O71" s="15">
        <v>33801.666666666664</v>
      </c>
    </row>
    <row r="72" spans="6:15" ht="16.5" customHeight="1" x14ac:dyDescent="0.25">
      <c r="F72" s="59">
        <v>44307</v>
      </c>
      <c r="G72" s="15">
        <v>36750</v>
      </c>
      <c r="H72" s="15">
        <v>37600</v>
      </c>
      <c r="I72" s="15">
        <v>36450</v>
      </c>
      <c r="J72" s="15">
        <v>37050</v>
      </c>
      <c r="K72" s="15">
        <v>193896</v>
      </c>
      <c r="L72" s="21">
        <v>150</v>
      </c>
      <c r="M72" s="15">
        <v>37810</v>
      </c>
      <c r="N72" s="15">
        <v>38622.5</v>
      </c>
      <c r="O72" s="15">
        <v>33853.333333333336</v>
      </c>
    </row>
    <row r="73" spans="6:15" ht="16.5" customHeight="1" x14ac:dyDescent="0.25">
      <c r="F73" s="59">
        <v>44308</v>
      </c>
      <c r="G73" s="15">
        <v>37100</v>
      </c>
      <c r="H73" s="15">
        <v>37850</v>
      </c>
      <c r="I73" s="15">
        <v>36700</v>
      </c>
      <c r="J73" s="15">
        <v>37600</v>
      </c>
      <c r="K73" s="15">
        <v>165118</v>
      </c>
      <c r="L73" s="21">
        <v>550</v>
      </c>
      <c r="M73" s="15">
        <v>37460</v>
      </c>
      <c r="N73" s="15">
        <v>38542.5</v>
      </c>
      <c r="O73" s="15">
        <v>33920.833333333336</v>
      </c>
    </row>
    <row r="74" spans="6:15" ht="16.5" customHeight="1" x14ac:dyDescent="0.25">
      <c r="F74" s="59">
        <v>44309</v>
      </c>
      <c r="G74" s="15">
        <v>37400</v>
      </c>
      <c r="H74" s="15">
        <v>38050</v>
      </c>
      <c r="I74" s="15">
        <v>37050</v>
      </c>
      <c r="J74" s="15">
        <v>37700</v>
      </c>
      <c r="K74" s="15">
        <v>162858</v>
      </c>
      <c r="L74" s="21">
        <v>100</v>
      </c>
      <c r="M74" s="15">
        <v>37320</v>
      </c>
      <c r="N74" s="15">
        <v>38505</v>
      </c>
      <c r="O74" s="15">
        <v>33967.5</v>
      </c>
    </row>
    <row r="75" spans="6:15" ht="16.5" customHeight="1" x14ac:dyDescent="0.25">
      <c r="F75" s="59">
        <v>44312</v>
      </c>
      <c r="G75" s="15">
        <v>38050</v>
      </c>
      <c r="H75" s="15">
        <v>38050</v>
      </c>
      <c r="I75" s="15">
        <v>37150</v>
      </c>
      <c r="J75" s="15">
        <v>37200</v>
      </c>
      <c r="K75" s="15">
        <v>150121</v>
      </c>
      <c r="L75" s="21">
        <v>-500</v>
      </c>
      <c r="M75" s="15">
        <v>37260</v>
      </c>
      <c r="N75" s="15">
        <v>38430</v>
      </c>
      <c r="O75" s="15">
        <v>34027.5</v>
      </c>
    </row>
    <row r="76" spans="6:15" ht="16.5" customHeight="1" x14ac:dyDescent="0.25">
      <c r="F76" s="59">
        <v>44313</v>
      </c>
      <c r="G76" s="15">
        <v>37200</v>
      </c>
      <c r="H76" s="15">
        <v>37200</v>
      </c>
      <c r="I76" s="15">
        <v>35750</v>
      </c>
      <c r="J76" s="15">
        <v>36050</v>
      </c>
      <c r="K76" s="15">
        <v>365542</v>
      </c>
      <c r="L76" s="21">
        <v>-1150</v>
      </c>
      <c r="M76" s="15">
        <v>37290</v>
      </c>
      <c r="N76" s="15">
        <v>38350</v>
      </c>
      <c r="O76" s="15">
        <v>34089.166666666664</v>
      </c>
    </row>
    <row r="77" spans="6:15" ht="16.5" customHeight="1" x14ac:dyDescent="0.25">
      <c r="F77" s="59">
        <v>44314</v>
      </c>
      <c r="G77" s="15">
        <v>36300</v>
      </c>
      <c r="H77" s="15">
        <v>36300</v>
      </c>
      <c r="I77" s="15">
        <v>34800</v>
      </c>
      <c r="J77" s="15">
        <v>34850</v>
      </c>
      <c r="K77" s="15">
        <v>239218</v>
      </c>
      <c r="L77" s="21">
        <v>-1200</v>
      </c>
      <c r="M77" s="15">
        <v>37120</v>
      </c>
      <c r="N77" s="15">
        <v>38212.5</v>
      </c>
      <c r="O77" s="15">
        <v>34140</v>
      </c>
    </row>
    <row r="78" spans="6:15" ht="16.5" customHeight="1" x14ac:dyDescent="0.25">
      <c r="F78" s="59">
        <v>44315</v>
      </c>
      <c r="G78" s="15">
        <v>34850</v>
      </c>
      <c r="H78" s="15">
        <v>37200</v>
      </c>
      <c r="I78" s="15">
        <v>34500</v>
      </c>
      <c r="J78" s="15">
        <v>34800</v>
      </c>
      <c r="K78" s="15">
        <v>359310</v>
      </c>
      <c r="L78" s="21">
        <v>-50</v>
      </c>
      <c r="M78" s="15">
        <v>36680</v>
      </c>
      <c r="N78" s="15">
        <v>38057.5</v>
      </c>
      <c r="O78" s="15">
        <v>34188.333333333336</v>
      </c>
    </row>
    <row r="79" spans="6:15" ht="16.5" customHeight="1" x14ac:dyDescent="0.25">
      <c r="F79" s="59">
        <v>44316</v>
      </c>
      <c r="G79" s="15">
        <v>35200</v>
      </c>
      <c r="H79" s="15">
        <v>35200</v>
      </c>
      <c r="I79" s="15">
        <v>33800</v>
      </c>
      <c r="J79" s="15">
        <v>34200</v>
      </c>
      <c r="K79" s="15">
        <v>217925</v>
      </c>
      <c r="L79" s="21">
        <v>-600</v>
      </c>
      <c r="M79" s="15">
        <v>36120</v>
      </c>
      <c r="N79" s="15">
        <v>37892.5</v>
      </c>
      <c r="O79" s="15">
        <v>34221.666666666664</v>
      </c>
    </row>
    <row r="80" spans="6:15" ht="16.5" customHeight="1" x14ac:dyDescent="0.25">
      <c r="F80" s="59">
        <v>44319</v>
      </c>
      <c r="G80" s="15">
        <v>33800</v>
      </c>
      <c r="H80" s="15">
        <v>35100</v>
      </c>
      <c r="I80" s="15">
        <v>33750</v>
      </c>
      <c r="J80" s="15">
        <v>33750</v>
      </c>
      <c r="K80" s="15">
        <v>180718</v>
      </c>
      <c r="L80" s="21">
        <v>-450</v>
      </c>
      <c r="M80" s="15">
        <v>35420</v>
      </c>
      <c r="N80" s="15">
        <v>37652.5</v>
      </c>
      <c r="O80" s="15">
        <v>34243.333333333336</v>
      </c>
    </row>
    <row r="81" spans="6:15" ht="16.5" customHeight="1" x14ac:dyDescent="0.25">
      <c r="F81" s="59">
        <v>44320</v>
      </c>
      <c r="G81" s="15">
        <v>33850</v>
      </c>
      <c r="H81" s="15">
        <v>34650</v>
      </c>
      <c r="I81" s="15">
        <v>33300</v>
      </c>
      <c r="J81" s="15">
        <v>34500</v>
      </c>
      <c r="K81" s="15">
        <v>153246</v>
      </c>
      <c r="L81" s="21">
        <v>750</v>
      </c>
      <c r="M81" s="15">
        <v>34730</v>
      </c>
      <c r="N81" s="15">
        <v>37352.5</v>
      </c>
      <c r="O81" s="15">
        <v>34259.166666666664</v>
      </c>
    </row>
    <row r="82" spans="6:15" ht="16.5" customHeight="1" x14ac:dyDescent="0.25">
      <c r="F82" s="59">
        <v>44322</v>
      </c>
      <c r="G82" s="15">
        <v>34550</v>
      </c>
      <c r="H82" s="15">
        <v>34700</v>
      </c>
      <c r="I82" s="15">
        <v>33650</v>
      </c>
      <c r="J82" s="15">
        <v>34000</v>
      </c>
      <c r="K82" s="15">
        <v>156396</v>
      </c>
      <c r="L82" s="21">
        <v>-500</v>
      </c>
      <c r="M82" s="15">
        <v>34420</v>
      </c>
      <c r="N82" s="15">
        <v>37055</v>
      </c>
      <c r="O82" s="15">
        <v>34299.166666666664</v>
      </c>
    </row>
    <row r="83" spans="6:15" ht="16.5" customHeight="1" x14ac:dyDescent="0.25">
      <c r="F83" s="59">
        <v>44323</v>
      </c>
      <c r="G83" s="15">
        <v>34000</v>
      </c>
      <c r="H83" s="15">
        <v>35100</v>
      </c>
      <c r="I83" s="15">
        <v>34000</v>
      </c>
      <c r="J83" s="15">
        <v>34300</v>
      </c>
      <c r="K83" s="15">
        <v>128545</v>
      </c>
      <c r="L83" s="21">
        <v>300</v>
      </c>
      <c r="M83" s="15">
        <v>34250</v>
      </c>
      <c r="N83" s="15">
        <v>36852.5</v>
      </c>
      <c r="O83" s="15">
        <v>34326.666666666664</v>
      </c>
    </row>
    <row r="84" spans="6:15" ht="16.5" customHeight="1" x14ac:dyDescent="0.25">
      <c r="F84" s="59">
        <v>44326</v>
      </c>
      <c r="G84" s="15">
        <v>34350</v>
      </c>
      <c r="H84" s="15">
        <v>36200</v>
      </c>
      <c r="I84" s="15">
        <v>34100</v>
      </c>
      <c r="J84" s="15">
        <v>35550</v>
      </c>
      <c r="K84" s="15">
        <v>244952</v>
      </c>
      <c r="L84" s="21">
        <v>1250</v>
      </c>
      <c r="M84" s="15">
        <v>34150</v>
      </c>
      <c r="N84" s="15">
        <v>36567.5</v>
      </c>
      <c r="O84" s="15">
        <v>34370</v>
      </c>
    </row>
    <row r="85" spans="6:15" ht="16.5" customHeight="1" x14ac:dyDescent="0.25">
      <c r="F85" s="59">
        <v>44327</v>
      </c>
      <c r="G85" s="15">
        <v>35050</v>
      </c>
      <c r="H85" s="15">
        <v>35600</v>
      </c>
      <c r="I85" s="15">
        <v>34700</v>
      </c>
      <c r="J85" s="15">
        <v>35200</v>
      </c>
      <c r="K85" s="15">
        <v>147914</v>
      </c>
      <c r="L85" s="21">
        <v>-350</v>
      </c>
      <c r="M85" s="15">
        <v>34420</v>
      </c>
      <c r="N85" s="15">
        <v>36387.5</v>
      </c>
      <c r="O85" s="15">
        <v>34441.666666666664</v>
      </c>
    </row>
    <row r="86" spans="6:15" ht="16.5" customHeight="1" x14ac:dyDescent="0.25">
      <c r="F86" s="59">
        <v>44328</v>
      </c>
      <c r="G86" s="15">
        <v>36000</v>
      </c>
      <c r="H86" s="15">
        <v>38200</v>
      </c>
      <c r="I86" s="15">
        <v>35450</v>
      </c>
      <c r="J86" s="15">
        <v>37600</v>
      </c>
      <c r="K86" s="15">
        <v>672457</v>
      </c>
      <c r="L86" s="21">
        <v>2400</v>
      </c>
      <c r="M86" s="15">
        <v>34710</v>
      </c>
      <c r="N86" s="15">
        <v>36220</v>
      </c>
      <c r="O86" s="15">
        <v>34507.5</v>
      </c>
    </row>
    <row r="87" spans="6:15" ht="16.5" customHeight="1" x14ac:dyDescent="0.25">
      <c r="F87" s="59">
        <v>44329</v>
      </c>
      <c r="G87" s="15">
        <v>37300</v>
      </c>
      <c r="H87" s="15">
        <v>39500</v>
      </c>
      <c r="I87" s="15">
        <v>36450</v>
      </c>
      <c r="J87" s="15">
        <v>38300</v>
      </c>
      <c r="K87" s="15">
        <v>1045634</v>
      </c>
      <c r="L87" s="21">
        <v>700</v>
      </c>
      <c r="M87" s="15">
        <v>35330</v>
      </c>
      <c r="N87" s="15">
        <v>36170</v>
      </c>
      <c r="O87" s="15">
        <v>34615.833333333336</v>
      </c>
    </row>
    <row r="88" spans="6:15" ht="16.5" customHeight="1" x14ac:dyDescent="0.25">
      <c r="F88" s="59">
        <v>44330</v>
      </c>
      <c r="G88" s="15">
        <v>38900</v>
      </c>
      <c r="H88" s="15">
        <v>39500</v>
      </c>
      <c r="I88" s="15">
        <v>37300</v>
      </c>
      <c r="J88" s="15">
        <v>38600</v>
      </c>
      <c r="K88" s="15">
        <v>432600</v>
      </c>
      <c r="L88" s="21">
        <v>300</v>
      </c>
      <c r="M88" s="15">
        <v>36190</v>
      </c>
      <c r="N88" s="15">
        <v>36145</v>
      </c>
      <c r="O88" s="15">
        <v>34753.333333333336</v>
      </c>
    </row>
    <row r="89" spans="6:15" ht="16.5" customHeight="1" x14ac:dyDescent="0.25">
      <c r="F89" s="59">
        <v>44333</v>
      </c>
      <c r="G89" s="15">
        <v>38450</v>
      </c>
      <c r="H89" s="15">
        <v>38500</v>
      </c>
      <c r="I89" s="15">
        <v>36400</v>
      </c>
      <c r="J89" s="15">
        <v>37250</v>
      </c>
      <c r="K89" s="15">
        <v>393697</v>
      </c>
      <c r="L89" s="21">
        <v>-1350</v>
      </c>
      <c r="M89" s="15">
        <v>37050</v>
      </c>
      <c r="N89" s="15">
        <v>36160</v>
      </c>
      <c r="O89" s="15">
        <v>34869.166666666664</v>
      </c>
    </row>
    <row r="90" spans="6:15" ht="16.5" customHeight="1" x14ac:dyDescent="0.25">
      <c r="F90" s="59">
        <v>44334</v>
      </c>
      <c r="G90" s="15">
        <v>37300</v>
      </c>
      <c r="H90" s="15">
        <v>37800</v>
      </c>
      <c r="I90" s="15">
        <v>36650</v>
      </c>
      <c r="J90" s="15">
        <v>37400</v>
      </c>
      <c r="K90" s="15">
        <v>186355</v>
      </c>
      <c r="L90" s="21">
        <v>150</v>
      </c>
      <c r="M90" s="15">
        <v>37390</v>
      </c>
      <c r="N90" s="15">
        <v>36122.5</v>
      </c>
      <c r="O90" s="15">
        <v>34959.166666666664</v>
      </c>
    </row>
    <row r="91" spans="6:15" ht="16.5" customHeight="1" x14ac:dyDescent="0.25">
      <c r="F91" s="59">
        <v>44336</v>
      </c>
      <c r="G91" s="15">
        <v>37300</v>
      </c>
      <c r="H91" s="15">
        <v>38200</v>
      </c>
      <c r="I91" s="15">
        <v>36650</v>
      </c>
      <c r="J91" s="15">
        <v>38000</v>
      </c>
      <c r="K91" s="15">
        <v>165373</v>
      </c>
      <c r="L91" s="21">
        <v>600</v>
      </c>
      <c r="M91" s="15">
        <v>37830</v>
      </c>
      <c r="N91" s="15">
        <v>36140</v>
      </c>
      <c r="O91" s="15">
        <v>35048.333333333336</v>
      </c>
    </row>
    <row r="92" spans="6:15" ht="16.5" customHeight="1" x14ac:dyDescent="0.25">
      <c r="F92" s="59">
        <v>44337</v>
      </c>
      <c r="G92" s="15">
        <v>38300</v>
      </c>
      <c r="H92" s="15">
        <v>40150</v>
      </c>
      <c r="I92" s="15">
        <v>37800</v>
      </c>
      <c r="J92" s="15">
        <v>39250</v>
      </c>
      <c r="K92" s="15">
        <v>944138</v>
      </c>
      <c r="L92" s="21">
        <v>1250</v>
      </c>
      <c r="M92" s="15">
        <v>37910</v>
      </c>
      <c r="N92" s="15">
        <v>36195</v>
      </c>
      <c r="O92" s="15">
        <v>35147.5</v>
      </c>
    </row>
    <row r="93" spans="6:15" ht="16.5" customHeight="1" x14ac:dyDescent="0.25">
      <c r="F93" s="59">
        <v>44340</v>
      </c>
      <c r="G93" s="15">
        <v>39350</v>
      </c>
      <c r="H93" s="15">
        <v>39600</v>
      </c>
      <c r="I93" s="15">
        <v>36500</v>
      </c>
      <c r="J93" s="15">
        <v>36500</v>
      </c>
      <c r="K93" s="15">
        <v>520991</v>
      </c>
      <c r="L93" s="21">
        <v>-2750</v>
      </c>
      <c r="M93" s="15">
        <v>38100</v>
      </c>
      <c r="N93" s="15">
        <v>36305</v>
      </c>
      <c r="O93" s="15">
        <v>35285</v>
      </c>
    </row>
    <row r="94" spans="6:15" ht="16.5" customHeight="1" x14ac:dyDescent="0.25">
      <c r="F94" s="59">
        <v>44341</v>
      </c>
      <c r="G94" s="15">
        <v>36800</v>
      </c>
      <c r="H94" s="15">
        <v>37200</v>
      </c>
      <c r="I94" s="15">
        <v>36550</v>
      </c>
      <c r="J94" s="15">
        <v>36550</v>
      </c>
      <c r="K94" s="15">
        <v>211651</v>
      </c>
      <c r="L94" s="21">
        <v>50</v>
      </c>
      <c r="M94" s="15">
        <v>37680</v>
      </c>
      <c r="N94" s="15">
        <v>36250</v>
      </c>
      <c r="O94" s="15">
        <v>35398.333333333336</v>
      </c>
    </row>
    <row r="95" spans="6:15" ht="16.5" customHeight="1" x14ac:dyDescent="0.25">
      <c r="F95" s="59">
        <v>44342</v>
      </c>
      <c r="G95" s="15">
        <v>36700</v>
      </c>
      <c r="H95" s="15">
        <v>37550</v>
      </c>
      <c r="I95" s="15">
        <v>36600</v>
      </c>
      <c r="J95" s="15">
        <v>37250</v>
      </c>
      <c r="K95" s="15">
        <v>204215</v>
      </c>
      <c r="L95" s="21">
        <v>700</v>
      </c>
      <c r="M95" s="15">
        <v>37540</v>
      </c>
      <c r="N95" s="15">
        <v>36192.5</v>
      </c>
      <c r="O95" s="15">
        <v>35505.833333333336</v>
      </c>
    </row>
    <row r="96" spans="6:15" ht="16.5" customHeight="1" x14ac:dyDescent="0.25">
      <c r="F96" s="59">
        <v>44343</v>
      </c>
      <c r="G96" s="15">
        <v>37300</v>
      </c>
      <c r="H96" s="15">
        <v>37500</v>
      </c>
      <c r="I96" s="15">
        <v>36250</v>
      </c>
      <c r="J96" s="15">
        <v>36350</v>
      </c>
      <c r="K96" s="15">
        <v>188058</v>
      </c>
      <c r="L96" s="21">
        <v>-900</v>
      </c>
      <c r="M96" s="15">
        <v>37510</v>
      </c>
      <c r="N96" s="15">
        <v>36195</v>
      </c>
      <c r="O96" s="15">
        <v>35653.333333333336</v>
      </c>
    </row>
    <row r="97" spans="6:15" ht="16.5" customHeight="1" x14ac:dyDescent="0.25">
      <c r="F97" s="59">
        <v>44344</v>
      </c>
      <c r="G97" s="15">
        <v>36150</v>
      </c>
      <c r="H97" s="15">
        <v>36800</v>
      </c>
      <c r="I97" s="15">
        <v>35700</v>
      </c>
      <c r="J97" s="15">
        <v>35800</v>
      </c>
      <c r="K97" s="15">
        <v>201276</v>
      </c>
      <c r="L97" s="21">
        <v>-550</v>
      </c>
      <c r="M97" s="15">
        <v>37180</v>
      </c>
      <c r="N97" s="15">
        <v>36210</v>
      </c>
      <c r="O97" s="15">
        <v>35772.5</v>
      </c>
    </row>
    <row r="98" spans="6:15" ht="16.5" customHeight="1" x14ac:dyDescent="0.25">
      <c r="F98" s="59">
        <v>44347</v>
      </c>
      <c r="G98" s="15">
        <v>35700</v>
      </c>
      <c r="H98" s="15">
        <v>36200</v>
      </c>
      <c r="I98" s="15">
        <v>35250</v>
      </c>
      <c r="J98" s="15">
        <v>35800</v>
      </c>
      <c r="K98" s="15">
        <v>92484</v>
      </c>
      <c r="L98" s="21">
        <v>0</v>
      </c>
      <c r="M98" s="15">
        <v>36490</v>
      </c>
      <c r="N98" s="15">
        <v>36257.5</v>
      </c>
      <c r="O98" s="15">
        <v>35880</v>
      </c>
    </row>
    <row r="99" spans="6:15" ht="16.5" customHeight="1" x14ac:dyDescent="0.25">
      <c r="F99" s="59">
        <v>44348</v>
      </c>
      <c r="G99" s="15">
        <v>36650</v>
      </c>
      <c r="H99" s="15">
        <v>37200</v>
      </c>
      <c r="I99" s="15">
        <v>36100</v>
      </c>
      <c r="J99" s="15">
        <v>36450</v>
      </c>
      <c r="K99" s="15">
        <v>194561</v>
      </c>
      <c r="L99" s="21">
        <v>650</v>
      </c>
      <c r="M99" s="15">
        <v>36350</v>
      </c>
      <c r="N99" s="15">
        <v>36307.5</v>
      </c>
      <c r="O99" s="15">
        <v>36004.166666666664</v>
      </c>
    </row>
    <row r="100" spans="6:15" ht="16.5" customHeight="1" x14ac:dyDescent="0.25">
      <c r="F100" s="59">
        <v>44349</v>
      </c>
      <c r="G100" s="15">
        <v>36650</v>
      </c>
      <c r="H100" s="15">
        <v>37250</v>
      </c>
      <c r="I100" s="15">
        <v>36300</v>
      </c>
      <c r="J100" s="15">
        <v>36300</v>
      </c>
      <c r="K100" s="15">
        <v>146523</v>
      </c>
      <c r="L100" s="21">
        <v>-150</v>
      </c>
      <c r="M100" s="15">
        <v>36330</v>
      </c>
      <c r="N100" s="15">
        <v>36420</v>
      </c>
      <c r="O100" s="15">
        <v>36135</v>
      </c>
    </row>
    <row r="101" spans="6:15" ht="16.5" customHeight="1" x14ac:dyDescent="0.25">
      <c r="F101" s="59">
        <v>44350</v>
      </c>
      <c r="G101" s="15">
        <v>36350</v>
      </c>
      <c r="H101" s="15">
        <v>36700</v>
      </c>
      <c r="I101" s="15">
        <v>36050</v>
      </c>
      <c r="J101" s="15">
        <v>36100</v>
      </c>
      <c r="K101" s="15">
        <v>110085</v>
      </c>
      <c r="L101" s="21">
        <v>-200</v>
      </c>
      <c r="M101" s="15">
        <v>36140</v>
      </c>
      <c r="N101" s="15">
        <v>36547.5</v>
      </c>
      <c r="O101" s="15">
        <v>36266.666666666664</v>
      </c>
    </row>
    <row r="102" spans="6:15" ht="16.5" customHeight="1" x14ac:dyDescent="0.25">
      <c r="F102" s="59">
        <v>44351</v>
      </c>
      <c r="G102" s="15">
        <v>36100</v>
      </c>
      <c r="H102" s="15">
        <v>36200</v>
      </c>
      <c r="I102" s="15">
        <v>35700</v>
      </c>
      <c r="J102" s="15">
        <v>35800</v>
      </c>
      <c r="K102" s="15">
        <v>122438</v>
      </c>
      <c r="L102" s="21">
        <v>-300</v>
      </c>
      <c r="M102" s="15">
        <v>36090</v>
      </c>
      <c r="N102" s="15">
        <v>36627.5</v>
      </c>
      <c r="O102" s="15">
        <v>36391.666666666664</v>
      </c>
    </row>
    <row r="103" spans="6:15" ht="16.5" customHeight="1" x14ac:dyDescent="0.25">
      <c r="F103" s="59">
        <v>44354</v>
      </c>
      <c r="G103" s="15">
        <v>36100</v>
      </c>
      <c r="H103" s="15">
        <v>36150</v>
      </c>
      <c r="I103" s="15">
        <v>35300</v>
      </c>
      <c r="J103" s="15">
        <v>35550</v>
      </c>
      <c r="K103" s="15">
        <v>115943</v>
      </c>
      <c r="L103" s="21">
        <v>-250</v>
      </c>
      <c r="M103" s="15">
        <v>36090</v>
      </c>
      <c r="N103" s="15">
        <v>36717.5</v>
      </c>
      <c r="O103" s="15">
        <v>36515.833333333336</v>
      </c>
    </row>
    <row r="104" spans="6:15" ht="16.5" customHeight="1" x14ac:dyDescent="0.25">
      <c r="F104" s="59">
        <v>44355</v>
      </c>
      <c r="G104" s="15">
        <v>35300</v>
      </c>
      <c r="H104" s="15">
        <v>36700</v>
      </c>
      <c r="I104" s="15">
        <v>35300</v>
      </c>
      <c r="J104" s="15">
        <v>36350</v>
      </c>
      <c r="K104" s="15">
        <v>147996</v>
      </c>
      <c r="L104" s="21">
        <v>800</v>
      </c>
      <c r="M104" s="15">
        <v>36040</v>
      </c>
      <c r="N104" s="15">
        <v>36780</v>
      </c>
      <c r="O104" s="15">
        <v>36611.666666666664</v>
      </c>
    </row>
    <row r="105" spans="6:15" ht="16.5" customHeight="1" x14ac:dyDescent="0.25">
      <c r="F105" s="59">
        <v>44356</v>
      </c>
      <c r="G105" s="15">
        <v>36800</v>
      </c>
      <c r="H105" s="15">
        <v>36800</v>
      </c>
      <c r="I105" s="15">
        <v>35600</v>
      </c>
      <c r="J105" s="15">
        <v>35700</v>
      </c>
      <c r="K105" s="15">
        <v>156689</v>
      </c>
      <c r="L105" s="21">
        <v>-650</v>
      </c>
      <c r="M105" s="15">
        <v>36020</v>
      </c>
      <c r="N105" s="15">
        <v>36820</v>
      </c>
      <c r="O105" s="15">
        <v>36703.333333333336</v>
      </c>
    </row>
    <row r="106" spans="6:15" ht="16.5" customHeight="1" x14ac:dyDescent="0.25">
      <c r="F106" s="59">
        <v>44357</v>
      </c>
      <c r="G106" s="15">
        <v>35800</v>
      </c>
      <c r="H106" s="15">
        <v>38000</v>
      </c>
      <c r="I106" s="15">
        <v>35750</v>
      </c>
      <c r="J106" s="15">
        <v>37000</v>
      </c>
      <c r="K106" s="15">
        <v>528592</v>
      </c>
      <c r="L106" s="21">
        <v>1300</v>
      </c>
      <c r="M106" s="15">
        <v>35900</v>
      </c>
      <c r="N106" s="15">
        <v>36845</v>
      </c>
      <c r="O106" s="15">
        <v>36791.666666666664</v>
      </c>
    </row>
    <row r="107" spans="6:15" ht="16.5" customHeight="1" x14ac:dyDescent="0.25">
      <c r="F107" s="59">
        <v>44358</v>
      </c>
      <c r="G107" s="15">
        <v>37400</v>
      </c>
      <c r="H107" s="15">
        <v>37600</v>
      </c>
      <c r="I107" s="15">
        <v>36650</v>
      </c>
      <c r="J107" s="15">
        <v>36900</v>
      </c>
      <c r="K107" s="15">
        <v>138109</v>
      </c>
      <c r="L107" s="21">
        <v>-100</v>
      </c>
      <c r="M107" s="15">
        <v>36080</v>
      </c>
      <c r="N107" s="15">
        <v>36815</v>
      </c>
      <c r="O107" s="15">
        <v>36890.833333333336</v>
      </c>
    </row>
    <row r="108" spans="6:15" ht="16.5" customHeight="1" x14ac:dyDescent="0.25">
      <c r="F108" s="59">
        <v>44361</v>
      </c>
      <c r="G108" s="15">
        <v>37100</v>
      </c>
      <c r="H108" s="15">
        <v>37850</v>
      </c>
      <c r="I108" s="15">
        <v>36800</v>
      </c>
      <c r="J108" s="15">
        <v>36950</v>
      </c>
      <c r="K108" s="15">
        <v>180849</v>
      </c>
      <c r="L108" s="21">
        <v>50</v>
      </c>
      <c r="M108" s="15">
        <v>36300</v>
      </c>
      <c r="N108" s="15">
        <v>36745</v>
      </c>
      <c r="O108" s="15">
        <v>36969.166666666664</v>
      </c>
    </row>
    <row r="109" spans="6:15" ht="16.5" customHeight="1" x14ac:dyDescent="0.25">
      <c r="F109" s="59">
        <v>44362</v>
      </c>
      <c r="G109" s="15">
        <v>37350</v>
      </c>
      <c r="H109" s="15">
        <v>37350</v>
      </c>
      <c r="I109" s="15">
        <v>36500</v>
      </c>
      <c r="J109" s="15">
        <v>36750</v>
      </c>
      <c r="K109" s="15">
        <v>102707</v>
      </c>
      <c r="L109" s="21">
        <v>-200</v>
      </c>
      <c r="M109" s="15">
        <v>36580</v>
      </c>
      <c r="N109" s="15">
        <v>36662.5</v>
      </c>
      <c r="O109" s="15">
        <v>37045.833333333336</v>
      </c>
    </row>
    <row r="110" spans="6:15" ht="16.5" customHeight="1" x14ac:dyDescent="0.25">
      <c r="F110" s="59">
        <v>44363</v>
      </c>
      <c r="G110" s="15">
        <v>36650</v>
      </c>
      <c r="H110" s="15">
        <v>37850</v>
      </c>
      <c r="I110" s="15">
        <v>36450</v>
      </c>
      <c r="J110" s="15">
        <v>37500</v>
      </c>
      <c r="K110" s="15">
        <v>165305</v>
      </c>
      <c r="L110" s="21">
        <v>750</v>
      </c>
      <c r="M110" s="15">
        <v>36660</v>
      </c>
      <c r="N110" s="15">
        <v>36637.5</v>
      </c>
      <c r="O110" s="15">
        <v>37089.166666666664</v>
      </c>
    </row>
    <row r="111" spans="6:15" ht="16.5" customHeight="1" x14ac:dyDescent="0.25">
      <c r="F111" s="59">
        <v>44364</v>
      </c>
      <c r="G111" s="15">
        <v>37500</v>
      </c>
      <c r="H111" s="15">
        <v>38200</v>
      </c>
      <c r="I111" s="15">
        <v>37000</v>
      </c>
      <c r="J111" s="15">
        <v>37850</v>
      </c>
      <c r="K111" s="15">
        <v>220801</v>
      </c>
      <c r="L111" s="21">
        <v>350</v>
      </c>
      <c r="M111" s="15">
        <v>37020</v>
      </c>
      <c r="N111" s="15">
        <v>36642.5</v>
      </c>
      <c r="O111" s="15">
        <v>37109.166666666664</v>
      </c>
    </row>
    <row r="112" spans="6:15" ht="16.5" customHeight="1" x14ac:dyDescent="0.25">
      <c r="F112" s="59">
        <v>44365</v>
      </c>
      <c r="G112" s="15">
        <v>38150</v>
      </c>
      <c r="H112" s="15">
        <v>40700</v>
      </c>
      <c r="I112" s="15">
        <v>38100</v>
      </c>
      <c r="J112" s="15">
        <v>40650</v>
      </c>
      <c r="K112" s="15">
        <v>978629</v>
      </c>
      <c r="L112" s="21">
        <v>2800</v>
      </c>
      <c r="M112" s="15">
        <v>37190</v>
      </c>
      <c r="N112" s="15">
        <v>36635</v>
      </c>
      <c r="O112" s="15">
        <v>37150.833333333336</v>
      </c>
    </row>
    <row r="113" spans="6:15" ht="16.5" customHeight="1" x14ac:dyDescent="0.25">
      <c r="F113" s="59">
        <v>44368</v>
      </c>
      <c r="G113" s="15">
        <v>40400</v>
      </c>
      <c r="H113" s="15">
        <v>42400</v>
      </c>
      <c r="I113" s="15">
        <v>40200</v>
      </c>
      <c r="J113" s="15">
        <v>41600</v>
      </c>
      <c r="K113" s="15">
        <v>831044</v>
      </c>
      <c r="L113" s="21">
        <v>950</v>
      </c>
      <c r="M113" s="15">
        <v>37940</v>
      </c>
      <c r="N113" s="15">
        <v>36705</v>
      </c>
      <c r="O113" s="15">
        <v>37184.166666666664</v>
      </c>
    </row>
    <row r="114" spans="6:15" ht="16.5" customHeight="1" x14ac:dyDescent="0.25">
      <c r="F114" s="59">
        <v>44369</v>
      </c>
      <c r="G114" s="15">
        <v>41850</v>
      </c>
      <c r="H114" s="15">
        <v>42450</v>
      </c>
      <c r="I114" s="15">
        <v>40900</v>
      </c>
      <c r="J114" s="15">
        <v>41650</v>
      </c>
      <c r="K114" s="15">
        <v>320102</v>
      </c>
      <c r="L114" s="21">
        <v>50</v>
      </c>
      <c r="M114" s="15">
        <v>38870</v>
      </c>
      <c r="N114" s="15">
        <v>36960</v>
      </c>
      <c r="O114" s="15">
        <v>37238.333333333336</v>
      </c>
    </row>
    <row r="115" spans="6:15" ht="16.5" customHeight="1" x14ac:dyDescent="0.25">
      <c r="F115" s="59">
        <v>44370</v>
      </c>
      <c r="G115" s="15">
        <v>41800</v>
      </c>
      <c r="H115" s="15">
        <v>42650</v>
      </c>
      <c r="I115" s="15">
        <v>41300</v>
      </c>
      <c r="J115" s="15">
        <v>41600</v>
      </c>
      <c r="K115" s="15">
        <v>412132</v>
      </c>
      <c r="L115" s="21">
        <v>-50</v>
      </c>
      <c r="M115" s="15">
        <v>39850</v>
      </c>
      <c r="N115" s="15">
        <v>37215</v>
      </c>
      <c r="O115" s="15">
        <v>37279.166666666664</v>
      </c>
    </row>
    <row r="116" spans="6:15" ht="16.5" customHeight="1" x14ac:dyDescent="0.25">
      <c r="F116" s="59">
        <v>44371</v>
      </c>
      <c r="G116" s="15">
        <v>42200</v>
      </c>
      <c r="H116" s="15">
        <v>42250</v>
      </c>
      <c r="I116" s="15">
        <v>39100</v>
      </c>
      <c r="J116" s="15">
        <v>40700</v>
      </c>
      <c r="K116" s="15">
        <v>696932</v>
      </c>
      <c r="L116" s="21">
        <v>-900</v>
      </c>
      <c r="M116" s="15">
        <v>40670</v>
      </c>
      <c r="N116" s="15">
        <v>37432.5</v>
      </c>
      <c r="O116" s="15">
        <v>37325.833333333336</v>
      </c>
    </row>
    <row r="117" spans="6:15" ht="16.5" customHeight="1" x14ac:dyDescent="0.25">
      <c r="F117" s="59">
        <v>44372</v>
      </c>
      <c r="G117" s="15">
        <v>40650</v>
      </c>
      <c r="H117" s="15">
        <v>41800</v>
      </c>
      <c r="I117" s="15">
        <v>40050</v>
      </c>
      <c r="J117" s="15">
        <v>41000</v>
      </c>
      <c r="K117" s="15">
        <v>278835</v>
      </c>
      <c r="L117" s="21">
        <v>300</v>
      </c>
      <c r="M117" s="15">
        <v>41240</v>
      </c>
      <c r="N117" s="15">
        <v>37650</v>
      </c>
      <c r="O117" s="15">
        <v>37357.5</v>
      </c>
    </row>
    <row r="118" spans="6:15" ht="16.5" customHeight="1" x14ac:dyDescent="0.25">
      <c r="F118" s="59">
        <v>44375</v>
      </c>
      <c r="G118" s="15">
        <v>41450</v>
      </c>
      <c r="H118" s="15">
        <v>41600</v>
      </c>
      <c r="I118" s="15">
        <v>40200</v>
      </c>
      <c r="J118" s="15">
        <v>41200</v>
      </c>
      <c r="K118" s="15">
        <v>172759</v>
      </c>
      <c r="L118" s="21">
        <v>200</v>
      </c>
      <c r="M118" s="15">
        <v>41310</v>
      </c>
      <c r="N118" s="15">
        <v>37910</v>
      </c>
      <c r="O118" s="15">
        <v>37408.333333333336</v>
      </c>
    </row>
    <row r="119" spans="6:15" ht="16.5" customHeight="1" x14ac:dyDescent="0.25">
      <c r="F119" s="59">
        <v>44376</v>
      </c>
      <c r="G119" s="15">
        <v>41200</v>
      </c>
      <c r="H119" s="15">
        <v>44300</v>
      </c>
      <c r="I119" s="15">
        <v>41150</v>
      </c>
      <c r="J119" s="15">
        <v>43900</v>
      </c>
      <c r="K119" s="15">
        <v>720924</v>
      </c>
      <c r="L119" s="21">
        <v>2700</v>
      </c>
      <c r="M119" s="15">
        <v>41230</v>
      </c>
      <c r="N119" s="15">
        <v>38180</v>
      </c>
      <c r="O119" s="15">
        <v>37460</v>
      </c>
    </row>
    <row r="120" spans="6:15" ht="16.5" customHeight="1" x14ac:dyDescent="0.25">
      <c r="F120" s="59">
        <v>44377</v>
      </c>
      <c r="G120" s="15">
        <v>44000</v>
      </c>
      <c r="H120" s="15">
        <v>44700</v>
      </c>
      <c r="I120" s="15">
        <v>43300</v>
      </c>
      <c r="J120" s="15">
        <v>43950</v>
      </c>
      <c r="K120" s="15">
        <v>372310</v>
      </c>
      <c r="L120" s="21">
        <v>50</v>
      </c>
      <c r="M120" s="15">
        <v>41680</v>
      </c>
      <c r="N120" s="15">
        <v>38552.5</v>
      </c>
      <c r="O120" s="15">
        <v>37541.666666666664</v>
      </c>
    </row>
    <row r="121" spans="6:15" ht="16.5" customHeight="1" x14ac:dyDescent="0.25">
      <c r="F121" s="59">
        <v>44378</v>
      </c>
      <c r="G121" s="15">
        <v>44500</v>
      </c>
      <c r="H121" s="15">
        <v>44550</v>
      </c>
      <c r="I121" s="15">
        <v>42600</v>
      </c>
      <c r="J121" s="15">
        <v>42600</v>
      </c>
      <c r="K121" s="15">
        <v>353760</v>
      </c>
      <c r="L121" s="21">
        <v>-1350</v>
      </c>
      <c r="M121" s="15">
        <v>42150</v>
      </c>
      <c r="N121" s="15">
        <v>38935</v>
      </c>
      <c r="O121" s="15">
        <v>37611.666666666664</v>
      </c>
    </row>
    <row r="122" spans="6:15" ht="16.5" customHeight="1" x14ac:dyDescent="0.25">
      <c r="F122" s="59">
        <v>44379</v>
      </c>
      <c r="G122" s="15">
        <v>42600</v>
      </c>
      <c r="H122" s="15">
        <v>43000</v>
      </c>
      <c r="I122" s="15">
        <v>41200</v>
      </c>
      <c r="J122" s="15">
        <v>42550</v>
      </c>
      <c r="K122" s="15">
        <v>383889</v>
      </c>
      <c r="L122" s="21">
        <v>-50</v>
      </c>
      <c r="M122" s="15">
        <v>42530</v>
      </c>
      <c r="N122" s="15">
        <v>39260</v>
      </c>
      <c r="O122" s="15">
        <v>37647.5</v>
      </c>
    </row>
    <row r="123" spans="6:15" ht="16.5" customHeight="1" x14ac:dyDescent="0.25">
      <c r="F123" s="59">
        <v>44382</v>
      </c>
      <c r="G123" s="15">
        <v>42100</v>
      </c>
      <c r="H123" s="15">
        <v>43550</v>
      </c>
      <c r="I123" s="15">
        <v>42100</v>
      </c>
      <c r="J123" s="15">
        <v>42900</v>
      </c>
      <c r="K123" s="15">
        <v>316849</v>
      </c>
      <c r="L123" s="21">
        <v>350</v>
      </c>
      <c r="M123" s="15">
        <v>42840</v>
      </c>
      <c r="N123" s="15">
        <v>39597.5</v>
      </c>
      <c r="O123" s="15">
        <v>37722.5</v>
      </c>
    </row>
    <row r="124" spans="6:15" ht="16.5" customHeight="1" x14ac:dyDescent="0.25">
      <c r="F124" s="59">
        <v>44383</v>
      </c>
      <c r="G124" s="15">
        <v>42600</v>
      </c>
      <c r="H124" s="15">
        <v>42850</v>
      </c>
      <c r="I124" s="15">
        <v>41450</v>
      </c>
      <c r="J124" s="15">
        <v>41550</v>
      </c>
      <c r="K124" s="15">
        <v>289302</v>
      </c>
      <c r="L124" s="21">
        <v>-1350</v>
      </c>
      <c r="M124" s="15">
        <v>43180</v>
      </c>
      <c r="N124" s="15">
        <v>39965</v>
      </c>
      <c r="O124" s="15">
        <v>37770.833333333336</v>
      </c>
    </row>
    <row r="125" spans="6:15" ht="16.5" customHeight="1" x14ac:dyDescent="0.25">
      <c r="F125" s="59">
        <v>44384</v>
      </c>
      <c r="G125" s="15">
        <v>41550</v>
      </c>
      <c r="H125" s="15">
        <v>42100</v>
      </c>
      <c r="I125" s="15">
        <v>41000</v>
      </c>
      <c r="J125" s="15">
        <v>41000</v>
      </c>
      <c r="K125" s="15">
        <v>183063</v>
      </c>
      <c r="L125" s="21">
        <v>-550</v>
      </c>
      <c r="M125" s="15">
        <v>42710</v>
      </c>
      <c r="N125" s="15">
        <v>40225</v>
      </c>
      <c r="O125" s="15">
        <v>37810.833333333336</v>
      </c>
    </row>
    <row r="126" spans="6:15" ht="16.5" customHeight="1" x14ac:dyDescent="0.25">
      <c r="F126" s="59">
        <v>44385</v>
      </c>
      <c r="G126" s="15">
        <v>41000</v>
      </c>
      <c r="H126" s="15">
        <v>41550</v>
      </c>
      <c r="I126" s="15">
        <v>40150</v>
      </c>
      <c r="J126" s="15">
        <v>40950</v>
      </c>
      <c r="K126" s="15">
        <v>245748</v>
      </c>
      <c r="L126" s="21">
        <v>-50</v>
      </c>
      <c r="M126" s="15">
        <v>42120</v>
      </c>
      <c r="N126" s="15">
        <v>40490</v>
      </c>
      <c r="O126" s="15">
        <v>37851.666666666664</v>
      </c>
    </row>
    <row r="127" spans="6:15" ht="16.5" customHeight="1" x14ac:dyDescent="0.25">
      <c r="F127" s="59">
        <v>44386</v>
      </c>
      <c r="G127" s="15">
        <v>40350</v>
      </c>
      <c r="H127" s="15">
        <v>40800</v>
      </c>
      <c r="I127" s="15">
        <v>39400</v>
      </c>
      <c r="J127" s="15">
        <v>40250</v>
      </c>
      <c r="K127" s="15">
        <v>289764</v>
      </c>
      <c r="L127" s="21">
        <v>-700</v>
      </c>
      <c r="M127" s="15">
        <v>41790</v>
      </c>
      <c r="N127" s="15">
        <v>40687.5</v>
      </c>
      <c r="O127" s="15">
        <v>37890.833333333336</v>
      </c>
    </row>
    <row r="128" spans="6:15" ht="16.5" customHeight="1" x14ac:dyDescent="0.25">
      <c r="F128" s="59">
        <v>44389</v>
      </c>
      <c r="G128" s="15">
        <v>40750</v>
      </c>
      <c r="H128" s="15">
        <v>41150</v>
      </c>
      <c r="I128" s="15">
        <v>40300</v>
      </c>
      <c r="J128" s="15">
        <v>40600</v>
      </c>
      <c r="K128" s="15">
        <v>160310</v>
      </c>
      <c r="L128" s="21">
        <v>350</v>
      </c>
      <c r="M128" s="15">
        <v>41330</v>
      </c>
      <c r="N128" s="15">
        <v>40855</v>
      </c>
      <c r="O128" s="15">
        <v>37915</v>
      </c>
    </row>
    <row r="129" spans="6:15" ht="16.5" customHeight="1" x14ac:dyDescent="0.25">
      <c r="F129" s="59">
        <v>44390</v>
      </c>
      <c r="G129" s="15">
        <v>40750</v>
      </c>
      <c r="H129" s="15">
        <v>42350</v>
      </c>
      <c r="I129" s="15">
        <v>40750</v>
      </c>
      <c r="J129" s="15">
        <v>41850</v>
      </c>
      <c r="K129" s="15">
        <v>341554</v>
      </c>
      <c r="L129" s="21">
        <v>1250</v>
      </c>
      <c r="M129" s="15">
        <v>40870</v>
      </c>
      <c r="N129" s="15">
        <v>41037.5</v>
      </c>
      <c r="O129" s="15">
        <v>37953.333333333336</v>
      </c>
    </row>
    <row r="130" spans="6:15" ht="16.5" customHeight="1" x14ac:dyDescent="0.25">
      <c r="F130" s="59">
        <v>44391</v>
      </c>
      <c r="G130" s="15">
        <v>41900</v>
      </c>
      <c r="H130" s="15">
        <v>45850</v>
      </c>
      <c r="I130" s="15">
        <v>41900</v>
      </c>
      <c r="J130" s="15">
        <v>45450</v>
      </c>
      <c r="K130" s="15">
        <v>1164636</v>
      </c>
      <c r="L130" s="21">
        <v>3600</v>
      </c>
      <c r="M130" s="15">
        <v>40930</v>
      </c>
      <c r="N130" s="15">
        <v>41292.5</v>
      </c>
      <c r="O130" s="15">
        <v>38017.5</v>
      </c>
    </row>
  </sheetData>
  <mergeCells count="5">
    <mergeCell ref="X5:Z5"/>
    <mergeCell ref="C17:C21"/>
    <mergeCell ref="B17:B21"/>
    <mergeCell ref="B26:C26"/>
    <mergeCell ref="B30:C36"/>
  </mergeCells>
  <phoneticPr fontId="1" type="noConversion"/>
  <conditionalFormatting sqref="T7:T12">
    <cfRule type="dataBar" priority="9">
      <dataBar>
        <cfvo type="num" val="0"/>
        <cfvo type="num" val="0.2"/>
        <color rgb="FF63C384"/>
      </dataBar>
      <extLst>
        <ext xmlns:x14="http://schemas.microsoft.com/office/spreadsheetml/2009/9/main" uri="{B025F937-C7B1-47D3-B67F-A62EFF666E3E}">
          <x14:id>{FE170A10-C575-41B2-BFEE-A7640A7F665B}</x14:id>
        </ext>
      </extLst>
    </cfRule>
  </conditionalFormatting>
  <conditionalFormatting sqref="K1:K1048576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{0FFD5B54-076A-4E2E-B156-3040AE19A6C3}</x14:id>
        </ext>
      </extLst>
    </cfRule>
  </conditionalFormatting>
  <conditionalFormatting sqref="J1:J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{C8306310-A578-4F27-8FC2-0BACC24DDAC6}</x14:id>
        </ext>
      </extLst>
    </cfRule>
  </conditionalFormatting>
  <conditionalFormatting sqref="C10">
    <cfRule type="expression" dxfId="0" priority="3">
      <formula>$D$10=TRUE</formula>
    </cfRule>
  </conditionalFormatting>
  <dataValidations count="5">
    <dataValidation allowBlank="1" showInputMessage="1" showErrorMessage="1" promptTitle="과거 시세 조회기간" prompt="서버 부하를 막기 위해,_x000a_최대 [360일]까지 조회 가능합니다." sqref="C9" xr:uid="{00000000-0002-0000-0000-000000000000}"/>
    <dataValidation type="whole" allowBlank="1" showInputMessage="1" showErrorMessage="1" errorTitle="예측기간 오류" error="예측기간은 1~10 사이의 정수만 입력가능합니다." promptTitle="예측 구간" prompt="Auto ARIMA 기법으로 _x000a_최대 [10일]까지 예측가능합니다._x000a_" sqref="C10" xr:uid="{00000000-0002-0000-0000-000001000000}">
      <formula1>1</formula1>
      <formula2>10</formula2>
    </dataValidation>
    <dataValidation allowBlank="1" showInputMessage="1" showErrorMessage="1" promptTitle="종목명 입력" sqref="C7" xr:uid="{00000000-0002-0000-0000-000002000000}"/>
    <dataValidation allowBlank="1" showInputMessage="1" showErrorMessage="1" promptTitle="종목번호 입력" prompt="종목번호를 입력하면 종목명이 자동으로 입력됩니다." sqref="B6" xr:uid="{00000000-0002-0000-0000-000003000000}"/>
    <dataValidation allowBlank="1" showInputMessage="1" showErrorMessage="1" promptTitle="종목명 입력" prompt="종목명을 입력하면 종목번호가 자동으로 검색됩니다." sqref="B7" xr:uid="{00000000-0002-0000-0000-000004000000}"/>
  </dataValidations>
  <hyperlinks>
    <hyperlink ref="C27" r:id="rId1" xr:uid="{00000000-0004-0000-0000-000000000000}"/>
    <hyperlink ref="C28" r:id="rId2" xr:uid="{00000000-0004-0000-0000-000001000000}"/>
    <hyperlink ref="C23" r:id="rId3" xr:uid="{DD6200EA-2A44-4014-9DF8-F8F296E7DC35}"/>
  </hyperlinks>
  <pageMargins left="0.7" right="0.7" top="0.75" bottom="0.75" header="0.3" footer="0.3"/>
  <pageSetup paperSize="9" orientation="portrait" horizontalDpi="4294967293" r:id="rId4"/>
  <drawing r:id="rId5"/>
  <tableParts count="4">
    <tablePart r:id="rId6"/>
    <tablePart r:id="rId7"/>
    <tablePart r:id="rId8"/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170A10-C575-41B2-BFEE-A7640A7F665B}">
            <x14:dataBar minLength="0" maxLength="100" border="1" negativeBarBorderColorSameAsPositive="0">
              <x14:cfvo type="num">
                <xm:f>0</xm:f>
              </x14:cfvo>
              <x14:cfvo type="num">
                <xm:f>0.2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T7:T12</xm:sqref>
        </x14:conditionalFormatting>
        <x14:conditionalFormatting xmlns:xm="http://schemas.microsoft.com/office/excel/2006/main">
          <x14:cfRule type="dataBar" id="{0FFD5B54-076A-4E2E-B156-3040AE19A6C3}">
            <x14:dataBar minLength="0" maxLength="100" border="1" negativeBarBorderColorSameAsPositive="0">
              <x14:cfvo type="min"/>
              <x14:cfvo type="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K1:K1048576</xm:sqref>
        </x14:conditionalFormatting>
        <x14:conditionalFormatting xmlns:xm="http://schemas.microsoft.com/office/excel/2006/main">
          <x14:cfRule type="dataBar" id="{C8306310-A578-4F27-8FC2-0BACC24DDAC6}">
            <x14:dataBar minLength="0" maxLength="100" border="1" negativeBarBorderColorSameAsPositive="0">
              <x14:cfvo type="min"/>
              <x14:cfvo type="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6"/>
  <sheetViews>
    <sheetView zoomScale="160" zoomScaleNormal="160" workbookViewId="0"/>
  </sheetViews>
  <sheetFormatPr defaultColWidth="8.85546875" defaultRowHeight="16.899999999999999" customHeight="1" x14ac:dyDescent="0.25"/>
  <cols>
    <col min="1" max="1" width="4.7109375" style="40" customWidth="1"/>
    <col min="2" max="2" width="10.7109375" style="46" customWidth="1"/>
    <col min="3" max="3" width="13.42578125" style="47" customWidth="1"/>
    <col min="4" max="4" width="13.5703125" style="40" customWidth="1"/>
    <col min="5" max="7" width="10.7109375" style="49" customWidth="1"/>
    <col min="8" max="8" width="10.7109375" style="50" customWidth="1"/>
    <col min="9" max="9" width="10.7109375" style="51" customWidth="1"/>
    <col min="10" max="16384" width="8.85546875" style="40"/>
  </cols>
  <sheetData>
    <row r="1" spans="2:9" ht="15" customHeight="1" x14ac:dyDescent="0.25"/>
    <row r="2" spans="2:9" ht="16.899999999999999" customHeight="1" x14ac:dyDescent="0.25">
      <c r="B2" s="41" t="s">
        <v>0</v>
      </c>
      <c r="C2" s="42" t="s">
        <v>1</v>
      </c>
      <c r="D2" s="42" t="s">
        <v>32</v>
      </c>
      <c r="E2" s="43" t="s">
        <v>28</v>
      </c>
      <c r="F2" s="43" t="s">
        <v>3</v>
      </c>
      <c r="G2" s="43" t="s">
        <v>4</v>
      </c>
      <c r="H2" s="44" t="s">
        <v>23</v>
      </c>
      <c r="I2" s="45" t="s">
        <v>29</v>
      </c>
    </row>
    <row r="3" spans="2:9" ht="16.899999999999999" customHeight="1" x14ac:dyDescent="0.25">
      <c r="B3" s="46" t="s">
        <v>31</v>
      </c>
      <c r="C3" s="47" t="s">
        <v>30</v>
      </c>
      <c r="D3" s="48">
        <v>44386</v>
      </c>
      <c r="E3" s="49">
        <v>422000</v>
      </c>
      <c r="F3" s="49">
        <v>360</v>
      </c>
      <c r="G3" s="49">
        <v>10</v>
      </c>
      <c r="H3" s="50">
        <v>553.27868852459937</v>
      </c>
      <c r="I3" s="51">
        <v>1.3110869396317521E-3</v>
      </c>
    </row>
    <row r="4" spans="2:9" ht="16.899999999999999" customHeight="1" x14ac:dyDescent="0.25">
      <c r="B4" s="46" t="s">
        <v>42</v>
      </c>
      <c r="C4" s="47" t="s">
        <v>43</v>
      </c>
      <c r="D4" s="48">
        <v>44390</v>
      </c>
      <c r="E4" s="49">
        <v>79700</v>
      </c>
      <c r="F4" s="49">
        <v>180</v>
      </c>
      <c r="G4" s="49">
        <v>6</v>
      </c>
      <c r="H4" s="50">
        <v>-41.921034758134432</v>
      </c>
      <c r="I4" s="51">
        <v>-5.2598537965036927E-4</v>
      </c>
    </row>
    <row r="5" spans="2:9" ht="16.899999999999999" customHeight="1" x14ac:dyDescent="0.25">
      <c r="B5" s="46" t="s">
        <v>42</v>
      </c>
      <c r="C5" s="47" t="s">
        <v>43</v>
      </c>
      <c r="D5" s="48">
        <v>44391</v>
      </c>
      <c r="E5" s="49">
        <v>79500</v>
      </c>
      <c r="F5" s="49">
        <v>360</v>
      </c>
      <c r="G5" s="49">
        <v>10</v>
      </c>
      <c r="H5" s="50">
        <v>103.68852459016053</v>
      </c>
      <c r="I5" s="51">
        <v>1.3042581709454154E-3</v>
      </c>
    </row>
    <row r="6" spans="2:9" ht="16.899999999999999" customHeight="1" x14ac:dyDescent="0.25">
      <c r="B6" s="46" t="s">
        <v>48</v>
      </c>
      <c r="C6" s="47" t="s">
        <v>46</v>
      </c>
      <c r="D6" s="48">
        <v>44391</v>
      </c>
      <c r="E6" s="49">
        <v>45450</v>
      </c>
      <c r="F6" s="49">
        <v>180</v>
      </c>
      <c r="G6" s="49">
        <v>6</v>
      </c>
      <c r="H6" s="50">
        <v>93.089430894317047</v>
      </c>
      <c r="I6" s="51">
        <v>2.0481722969046654E-3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10</vt:i4>
      </vt:variant>
    </vt:vector>
  </HeadingPairs>
  <TitlesOfParts>
    <vt:vector size="12" baseType="lpstr">
      <vt:lpstr>주식시세예측</vt:lpstr>
      <vt:lpstr>조회기록</vt:lpstr>
      <vt:lpstr>API</vt:lpstr>
      <vt:lpstr>AvgDiff</vt:lpstr>
      <vt:lpstr>FilePath</vt:lpstr>
      <vt:lpstr>ForecastTerm</vt:lpstr>
      <vt:lpstr>InputDate</vt:lpstr>
      <vt:lpstr>MAPE</vt:lpstr>
      <vt:lpstr>SearchTerm</vt:lpstr>
      <vt:lpstr>StockName</vt:lpstr>
      <vt:lpstr>StockNo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오빠두엑셀</dc:creator>
  <cp:lastModifiedBy>Vincent Lee</cp:lastModifiedBy>
  <dcterms:created xsi:type="dcterms:W3CDTF">2021-06-26T18:49:49Z</dcterms:created>
  <dcterms:modified xsi:type="dcterms:W3CDTF">2021-07-14T11:04:17Z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b00e204b-b5fc-41d4-b7d9-66b7d9287b58</vt:lpwstr>
  </property>
</Properties>
</file>